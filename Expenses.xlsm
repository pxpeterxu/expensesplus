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Code\expensesplus\"/>
    </mc:Choice>
  </mc:AlternateContent>
  <bookViews>
    <workbookView xWindow="0" yWindow="0" windowWidth="5988" windowHeight="5496"/>
  </bookViews>
  <sheets>
    <sheet name="Instructions" sheetId="8" r:id="rId1"/>
    <sheet name="Uber and Lyft" sheetId="9" r:id="rId2"/>
    <sheet name="Meals 1 - Alone" sheetId="2" r:id="rId3"/>
    <sheet name="Hotels" sheetId="1" r:id="rId4"/>
    <sheet name="Meals 2 - In Office" sheetId="3" r:id="rId5"/>
    <sheet name="Meals 3 - Group Outside Office" sheetId="5" r:id="rId6"/>
    <sheet name="Taxi" sheetId="7" r:id="rId7"/>
    <sheet name="Settings" sheetId="4" r:id="rId8"/>
    <sheet name="Notes" sheetId="11" r:id="rId9"/>
  </sheets>
  <definedNames>
    <definedName name="_xlnm._FilterDatabase" localSheetId="6" hidden="1">Taxi!$A$3:$I$17</definedName>
    <definedName name="ChargeCode">Instructions!$B$15</definedName>
    <definedName name="Location">Instructions!$B$16</definedName>
    <definedName name="ReceiptsDir">Instructions!$B$18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8" l="1"/>
  <c r="I11" i="8"/>
  <c r="I10" i="8"/>
  <c r="I9" i="8"/>
  <c r="E4" i="1"/>
  <c r="I7" i="8" s="1"/>
  <c r="I13" i="8" l="1"/>
</calcChain>
</file>

<file path=xl/sharedStrings.xml><?xml version="1.0" encoding="utf-8"?>
<sst xmlns="http://schemas.openxmlformats.org/spreadsheetml/2006/main" count="525" uniqueCount="444">
  <si>
    <t>Hotels</t>
  </si>
  <si>
    <t>Charge code</t>
  </si>
  <si>
    <t>Check-in</t>
  </si>
  <si>
    <t>Check-out</t>
  </si>
  <si>
    <t>Location (city, state)</t>
  </si>
  <si>
    <t>Total</t>
  </si>
  <si>
    <t>Room rate</t>
  </si>
  <si>
    <t>Tax 1</t>
  </si>
  <si>
    <t>Tax 2</t>
  </si>
  <si>
    <t>Tax 3</t>
  </si>
  <si>
    <t>Tax 4</t>
  </si>
  <si>
    <t>Tax 5</t>
  </si>
  <si>
    <t>Internet</t>
  </si>
  <si>
    <t>Parking</t>
  </si>
  <si>
    <t>Breakfast</t>
  </si>
  <si>
    <t>Currency</t>
  </si>
  <si>
    <t>USD</t>
  </si>
  <si>
    <t>Charges per day</t>
  </si>
  <si>
    <t>Meals 1 - Travel Dining Alone</t>
  </si>
  <si>
    <t>Date</t>
  </si>
  <si>
    <t>Amount</t>
  </si>
  <si>
    <t>Meal</t>
  </si>
  <si>
    <t>Validations</t>
  </si>
  <si>
    <t>Meals 1 types</t>
  </si>
  <si>
    <t>Meals 2 types</t>
  </si>
  <si>
    <t>Meals 3 types</t>
  </si>
  <si>
    <t>Currencies</t>
  </si>
  <si>
    <t>AED - UAE Dirham</t>
  </si>
  <si>
    <t>AFN - Afghani</t>
  </si>
  <si>
    <t>ALL - Lek</t>
  </si>
  <si>
    <t>AMD - Armenian Dram</t>
  </si>
  <si>
    <t>ANG - Netherlands Antillian Guilder</t>
  </si>
  <si>
    <t>AOA - Kwanza</t>
  </si>
  <si>
    <t>ARS - Argentine Peso</t>
  </si>
  <si>
    <t>AUD - Australian Dollar</t>
  </si>
  <si>
    <t>AWG - Aruban Guilder</t>
  </si>
  <si>
    <t>AZN - Azerbaijanian manat</t>
  </si>
  <si>
    <t>BAM - Convertible Marks</t>
  </si>
  <si>
    <t>BBD - Barbados Dollar</t>
  </si>
  <si>
    <t>BDT - Taka</t>
  </si>
  <si>
    <t>BGL - Bulgaria Lev</t>
  </si>
  <si>
    <t>BGN - Bulgarian Lev</t>
  </si>
  <si>
    <t>BHD - Bahraini Dinar</t>
  </si>
  <si>
    <t>BIF - Burundi Franc</t>
  </si>
  <si>
    <t>BMD - Bermudian Dollar</t>
  </si>
  <si>
    <t>BND - Brunei Dollar</t>
  </si>
  <si>
    <t>BOB - Boliviano</t>
  </si>
  <si>
    <t>BOV - Mvdol</t>
  </si>
  <si>
    <t>BRL - Brazilian Real</t>
  </si>
  <si>
    <t>BSD - Bahamian Dollar</t>
  </si>
  <si>
    <t>BTN - Ngultrum</t>
  </si>
  <si>
    <t>BWP - Pula</t>
  </si>
  <si>
    <t>BYR - Belarus Ruble</t>
  </si>
  <si>
    <t>BZD - Belize Dollar</t>
  </si>
  <si>
    <t>CAD - Canadian Dollar</t>
  </si>
  <si>
    <t>CDF - Franc Congolais</t>
  </si>
  <si>
    <t>CHF - Swiss Franc</t>
  </si>
  <si>
    <t>CLF - Unidades de fomento</t>
  </si>
  <si>
    <t>CLP - Chilean Peso</t>
  </si>
  <si>
    <t>CNY - Yuan Renminbi</t>
  </si>
  <si>
    <t>COP - Colombian Peso</t>
  </si>
  <si>
    <t>CRC - Costa Rican Colon</t>
  </si>
  <si>
    <t>CUP - Cuban Peso</t>
  </si>
  <si>
    <t>CVE - Cape Verde Escudo</t>
  </si>
  <si>
    <t>CYP - Cyprus Pound</t>
  </si>
  <si>
    <t>CZK - Czech Koruna</t>
  </si>
  <si>
    <t>DJF - Djibouti Franc</t>
  </si>
  <si>
    <t>DKK - Danish Krone</t>
  </si>
  <si>
    <t>DOP - Dominican Peso</t>
  </si>
  <si>
    <t>DZD - Algerian Dinar</t>
  </si>
  <si>
    <t>EEK - Kroon</t>
  </si>
  <si>
    <t>EGP - Egyptian Pound</t>
  </si>
  <si>
    <t>ERN - Nakfa</t>
  </si>
  <si>
    <t>ETB - Ethiopian Birr</t>
  </si>
  <si>
    <t>EUR - Euro</t>
  </si>
  <si>
    <t>FJD - Fiji Dollar</t>
  </si>
  <si>
    <t>FKP - Falkland Islands Pound</t>
  </si>
  <si>
    <t>GBP - Pound Sterling</t>
  </si>
  <si>
    <t>GEL - Lari</t>
  </si>
  <si>
    <t>GHS - Ghanaian New Cedi</t>
  </si>
  <si>
    <t>GIP - Gibraltar Pound</t>
  </si>
  <si>
    <t>GMD - Dalasi</t>
  </si>
  <si>
    <t>GNF - Guinea Franc</t>
  </si>
  <si>
    <t>GTQ - Quetzal</t>
  </si>
  <si>
    <t>GWP - Guinea-Bissau Peso</t>
  </si>
  <si>
    <t>GYD - Guyana Dollar</t>
  </si>
  <si>
    <t>HKD - Hong Kong Dollar</t>
  </si>
  <si>
    <t>HNL - Lempira</t>
  </si>
  <si>
    <t>HRK - Croatian Kuna</t>
  </si>
  <si>
    <t>HTG - Gourde</t>
  </si>
  <si>
    <t>HUF - Forint</t>
  </si>
  <si>
    <t>IDR - Rupiah</t>
  </si>
  <si>
    <t>ILS - New Israeli Sheqel</t>
  </si>
  <si>
    <t>INR - Indian Rupee</t>
  </si>
  <si>
    <t>IQD - Iraqi Dinar</t>
  </si>
  <si>
    <t>IRR - Iranian Rial</t>
  </si>
  <si>
    <t>ISK - Iceland Krona</t>
  </si>
  <si>
    <t>JMD - Jamaican Dollar</t>
  </si>
  <si>
    <t>JOD - Jordanian Dinar</t>
  </si>
  <si>
    <t>JPY - Yen</t>
  </si>
  <si>
    <t>KES - Kenyan Shilling</t>
  </si>
  <si>
    <t>KGS - Som</t>
  </si>
  <si>
    <t>KHR - Riel</t>
  </si>
  <si>
    <t>KMF - Comoro Franc</t>
  </si>
  <si>
    <t>KPW - North Korean Won</t>
  </si>
  <si>
    <t>KRW - South Korean Won</t>
  </si>
  <si>
    <t>KWD - Kuwaiti Dinar</t>
  </si>
  <si>
    <t>KYD - Cayman Islands Dollar</t>
  </si>
  <si>
    <t>KZT - Tenge</t>
  </si>
  <si>
    <t>LAK - Kip</t>
  </si>
  <si>
    <t>LBP - Lebanese Pound</t>
  </si>
  <si>
    <t>LKR - Sri Lanka Rupee</t>
  </si>
  <si>
    <t>LRD - Liberian Dollar</t>
  </si>
  <si>
    <t>LSL - Loti</t>
  </si>
  <si>
    <t>LTL - Lithuanian Litus</t>
  </si>
  <si>
    <t>LVL - Latvian Lats</t>
  </si>
  <si>
    <t>LYD - Libyan Dinar</t>
  </si>
  <si>
    <t>MAD - Moroccan Dirham</t>
  </si>
  <si>
    <t>MDL - Moldovan Leu</t>
  </si>
  <si>
    <t>MGA - Malagasy Ariary</t>
  </si>
  <si>
    <t>MKD - Denar</t>
  </si>
  <si>
    <t>MMK - Kyat</t>
  </si>
  <si>
    <t>MNT - Tugrik</t>
  </si>
  <si>
    <t>MOP - Pataca</t>
  </si>
  <si>
    <t>MRO - Ouguiya</t>
  </si>
  <si>
    <t>MTL - Maltese Lira</t>
  </si>
  <si>
    <t>MUR - Mauritius Rupee</t>
  </si>
  <si>
    <t>MVR - Rufiyaa</t>
  </si>
  <si>
    <t>MWK - Malawi Kwacha</t>
  </si>
  <si>
    <t>MXN - Mexican Peso</t>
  </si>
  <si>
    <t>MYR - Malaysian Ringgit</t>
  </si>
  <si>
    <t>MZN - Metical</t>
  </si>
  <si>
    <t>NAD - Namibia Dollar</t>
  </si>
  <si>
    <t>NGN - Naira</t>
  </si>
  <si>
    <t>NIO - Cordoba Oro</t>
  </si>
  <si>
    <t>NOK - Norwegian Krone</t>
  </si>
  <si>
    <t>NPR - Nepalese Rupee</t>
  </si>
  <si>
    <t>NZD - New Zealand Dollar</t>
  </si>
  <si>
    <t>OMR - Rial Omani</t>
  </si>
  <si>
    <t>PAB - Balboa</t>
  </si>
  <si>
    <t>PEN - Nuevo Sol</t>
  </si>
  <si>
    <t>PGK - Kina</t>
  </si>
  <si>
    <t>PHP - Philippine Peso</t>
  </si>
  <si>
    <t>PKR - Pakistan Rupee</t>
  </si>
  <si>
    <t>PLN - Zloty</t>
  </si>
  <si>
    <t>PYG - Guarani</t>
  </si>
  <si>
    <t>QAR - Qatari Rial</t>
  </si>
  <si>
    <t>RON - New Romanian Leu</t>
  </si>
  <si>
    <t>RSD - Serbian Dinar</t>
  </si>
  <si>
    <t>RUB - Russian Ruble</t>
  </si>
  <si>
    <t>RWF - Rwanda Franc</t>
  </si>
  <si>
    <t>SAR - Saudi Riyal</t>
  </si>
  <si>
    <t>SBD - Solomon Islands Dollar</t>
  </si>
  <si>
    <t>SCR - Seychelles Rupee</t>
  </si>
  <si>
    <t>SDG - Sudanese Pound</t>
  </si>
  <si>
    <t>SEK - Swedish Krona</t>
  </si>
  <si>
    <t>SGD - Singapore Dollar</t>
  </si>
  <si>
    <t>SHP - Saint Helena Pound</t>
  </si>
  <si>
    <t>SIT - Tolar</t>
  </si>
  <si>
    <t>SKK - Slovak Koruna</t>
  </si>
  <si>
    <t>SLL - Leone</t>
  </si>
  <si>
    <t>SOS - Somali Shilling</t>
  </si>
  <si>
    <t>SRD - Surinam Dollar</t>
  </si>
  <si>
    <t>STD - Dobra</t>
  </si>
  <si>
    <t>SVC - El Salvador Colon</t>
  </si>
  <si>
    <t>SYP - Syrian Pound</t>
  </si>
  <si>
    <t>SZL - Lilangeni</t>
  </si>
  <si>
    <t>THB - Baht</t>
  </si>
  <si>
    <t>TJS - Somoni</t>
  </si>
  <si>
    <t>TMT - Turkmenistan New Manat</t>
  </si>
  <si>
    <t>TND - Tunisian Dinar</t>
  </si>
  <si>
    <t>TOP - Pa'anga</t>
  </si>
  <si>
    <t>TPE - Timor Escudo</t>
  </si>
  <si>
    <t>TRY - Turkish New Lira</t>
  </si>
  <si>
    <t>TTD - Trinidad and Tobago Dollar</t>
  </si>
  <si>
    <t>TWD - Taiwan Dollar</t>
  </si>
  <si>
    <t>TZS - Tanzanian Shilling</t>
  </si>
  <si>
    <t>UAH - Hryvnia</t>
  </si>
  <si>
    <t>UGX - Uganda Shilling</t>
  </si>
  <si>
    <t>USD - US Dollar</t>
  </si>
  <si>
    <t>UYU - Peso Uruguayo</t>
  </si>
  <si>
    <t>UZS - Uzbekistan Sum</t>
  </si>
  <si>
    <t>VEB - Bolivar</t>
  </si>
  <si>
    <t>VEF - Venezuelan bolivar fuerte</t>
  </si>
  <si>
    <t>VND - Dong</t>
  </si>
  <si>
    <t>VUV - Vatu</t>
  </si>
  <si>
    <t>WST - Tala</t>
  </si>
  <si>
    <t>XAF - CFA Franc BEAC</t>
  </si>
  <si>
    <t>XCD - East Caribbean Dollar</t>
  </si>
  <si>
    <t>XOF - CFA Franc BCEAO</t>
  </si>
  <si>
    <t>XPF - CFP Franc</t>
  </si>
  <si>
    <t>YER - Yemeni Rial</t>
  </si>
  <si>
    <t>YUM - Yugoslavian Dinar</t>
  </si>
  <si>
    <t>ZAR - Rand</t>
  </si>
  <si>
    <t>ZMK - Zambia Kwacha</t>
  </si>
  <si>
    <t>ZWD - Zimbabwe Dollar</t>
  </si>
  <si>
    <t>AED</t>
  </si>
  <si>
    <t>AFN</t>
  </si>
  <si>
    <t>ALL</t>
  </si>
  <si>
    <t>AMD</t>
  </si>
  <si>
    <t>ANG</t>
  </si>
  <si>
    <t>AOA</t>
  </si>
  <si>
    <t>ARS</t>
  </si>
  <si>
    <t>AUD</t>
  </si>
  <si>
    <t>AWG</t>
  </si>
  <si>
    <t>AZN</t>
  </si>
  <si>
    <t>BAM</t>
  </si>
  <si>
    <t>BBD</t>
  </si>
  <si>
    <t>BDT</t>
  </si>
  <si>
    <t>BGL</t>
  </si>
  <si>
    <t>BGN</t>
  </si>
  <si>
    <t>BHD</t>
  </si>
  <si>
    <t>BIF</t>
  </si>
  <si>
    <t>BMD</t>
  </si>
  <si>
    <t>BND</t>
  </si>
  <si>
    <t>BOB</t>
  </si>
  <si>
    <t>BOV</t>
  </si>
  <si>
    <t>BRL</t>
  </si>
  <si>
    <t>BSD</t>
  </si>
  <si>
    <t>BTN</t>
  </si>
  <si>
    <t>BWP</t>
  </si>
  <si>
    <t>BYR</t>
  </si>
  <si>
    <t>BZD</t>
  </si>
  <si>
    <t>CAD</t>
  </si>
  <si>
    <t>CDF</t>
  </si>
  <si>
    <t>CHF</t>
  </si>
  <si>
    <t>CLF</t>
  </si>
  <si>
    <t>CLP</t>
  </si>
  <si>
    <t>CNY</t>
  </si>
  <si>
    <t>COP</t>
  </si>
  <si>
    <t>CRC</t>
  </si>
  <si>
    <t>CUP</t>
  </si>
  <si>
    <t>CVE</t>
  </si>
  <si>
    <t>CYP</t>
  </si>
  <si>
    <t>CZK</t>
  </si>
  <si>
    <t>DJF</t>
  </si>
  <si>
    <t>DKK</t>
  </si>
  <si>
    <t>DOP</t>
  </si>
  <si>
    <t>DZD</t>
  </si>
  <si>
    <t>EEK</t>
  </si>
  <si>
    <t>EGP</t>
  </si>
  <si>
    <t>ERN</t>
  </si>
  <si>
    <t>ETB</t>
  </si>
  <si>
    <t>EUR</t>
  </si>
  <si>
    <t>FJD</t>
  </si>
  <si>
    <t>FKP</t>
  </si>
  <si>
    <t>GBP</t>
  </si>
  <si>
    <t>GEL</t>
  </si>
  <si>
    <t>GHS</t>
  </si>
  <si>
    <t>GIP</t>
  </si>
  <si>
    <t>GMD</t>
  </si>
  <si>
    <t>GNF</t>
  </si>
  <si>
    <t>GTQ</t>
  </si>
  <si>
    <t>GWP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</si>
  <si>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</si>
  <si>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</si>
  <si>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</si>
  <si>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</si>
  <si>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</si>
  <si>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</si>
  <si>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</si>
  <si>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</si>
  <si>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</si>
  <si>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</si>
  <si>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</si>
  <si>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</si>
  <si>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</si>
  <si>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</si>
  <si>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</si>
  <si>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</si>
  <si>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</si>
  <si>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</si>
  <si>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</si>
  <si>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KPW</t>
  </si>
  <si>
    <t>KRW</t>
  </si>
  <si>
    <t>KWD</t>
  </si>
  <si>
    <t>KYD</t>
  </si>
  <si>
    <t>KZT</t>
  </si>
  <si>
    <t>LAK</t>
  </si>
  <si>
    <t>LBP</t>
  </si>
  <si>
    <t>LKR</t>
  </si>
  <si>
    <t>LRD</t>
  </si>
  <si>
    <t>LSL</t>
  </si>
  <si>
    <t>LTL</t>
  </si>
  <si>
    <t>LVL</t>
  </si>
  <si>
    <t>LYD</t>
  </si>
  <si>
    <t>MAD</t>
  </si>
  <si>
    <t>MDL</t>
  </si>
  <si>
    <t>MGA</t>
  </si>
  <si>
    <t>MKD</t>
  </si>
  <si>
    <t>MMK</t>
  </si>
  <si>
    <t>MNT</t>
  </si>
  <si>
    <t>MOP</t>
  </si>
  <si>
    <t>MRO</t>
  </si>
  <si>
    <t>MTL</t>
  </si>
  <si>
    <t>MUR</t>
  </si>
  <si>
    <t>MVR</t>
  </si>
  <si>
    <t>MWK</t>
  </si>
  <si>
    <t>MXN</t>
  </si>
  <si>
    <t>MYR</t>
  </si>
  <si>
    <t>MZN</t>
  </si>
  <si>
    <t>NAD</t>
  </si>
  <si>
    <t>NGN</t>
  </si>
  <si>
    <t>NIO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</si>
  <si>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</si>
  <si>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</si>
  <si>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</si>
  <si>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</si>
  <si>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</si>
  <si>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</si>
  <si>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</si>
  <si>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</si>
  <si>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</si>
  <si>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</si>
  <si>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</si>
  <si>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</si>
  <si>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</si>
  <si>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</si>
  <si>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</si>
  <si>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</si>
  <si>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</si>
  <si>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</si>
  <si>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</si>
  <si>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</si>
  <si>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</si>
  <si>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</si>
  <si>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</si>
  <si>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SIT</t>
  </si>
  <si>
    <t>SKK</t>
  </si>
  <si>
    <t>SLL</t>
  </si>
  <si>
    <t>SOS</t>
  </si>
  <si>
    <t>SRD</t>
  </si>
  <si>
    <t>STD</t>
  </si>
  <si>
    <t>SVC</t>
  </si>
  <si>
    <t>SYP</t>
  </si>
  <si>
    <t>SZL</t>
  </si>
  <si>
    <t>THB</t>
  </si>
  <si>
    <t>TJS</t>
  </si>
  <si>
    <t>TMT</t>
  </si>
  <si>
    <t>TND</t>
  </si>
  <si>
    <t>TOP</t>
  </si>
  <si>
    <t>TPE</t>
  </si>
  <si>
    <t>TRY</t>
  </si>
  <si>
    <t>TTD</t>
  </si>
  <si>
    <t>TWD</t>
  </si>
  <si>
    <t>TZS</t>
  </si>
  <si>
    <t>UAH</t>
  </si>
  <si>
    <t>UGX</t>
  </si>
  <si>
    <t>UYU</t>
  </si>
  <si>
    <t>UZS</t>
  </si>
  <si>
    <t>VEB</t>
  </si>
  <si>
    <t>VEF</t>
  </si>
  <si>
    <t>VND</t>
  </si>
  <si>
    <t>VUV</t>
  </si>
  <si>
    <t>WST</t>
  </si>
  <si>
    <t>XAF</t>
  </si>
  <si>
    <t>XCD</t>
  </si>
  <si>
    <t>XOF</t>
  </si>
  <si>
    <t>XPF</t>
  </si>
  <si>
    <t>YER</t>
  </si>
  <si>
    <t>YUM</t>
  </si>
  <si>
    <t>ZAR</t>
  </si>
  <si>
    <t>ZMK</t>
  </si>
  <si>
    <t>ZWD</t>
  </si>
  <si>
    <t>Dinner</t>
  </si>
  <si>
    <t>Lunch</t>
  </si>
  <si>
    <t>Meal Working Late</t>
  </si>
  <si>
    <t>Office Events</t>
  </si>
  <si>
    <t>Working Meetings</t>
  </si>
  <si>
    <t>Client Attended</t>
  </si>
  <si>
    <t>Occasional Team Celebration</t>
  </si>
  <si>
    <t>Team Discussion</t>
  </si>
  <si>
    <t>Meals 2 - In Office</t>
  </si>
  <si>
    <t>Nature</t>
  </si>
  <si>
    <t># of attendees</t>
  </si>
  <si>
    <t>Meals 3 - Group Outside Office</t>
  </si>
  <si>
    <t>Restaurant</t>
  </si>
  <si>
    <t>Attendees</t>
  </si>
  <si>
    <t>(Separate with semicolon: "First Last; First Last"</t>
  </si>
  <si>
    <t>From</t>
  </si>
  <si>
    <t>To</t>
  </si>
  <si>
    <t>From/to locations</t>
  </si>
  <si>
    <t>Home</t>
  </si>
  <si>
    <t>Airport</t>
  </si>
  <si>
    <t>Client</t>
  </si>
  <si>
    <t>Hotel</t>
  </si>
  <si>
    <t>Office</t>
  </si>
  <si>
    <t>Other</t>
  </si>
  <si>
    <t>Train Station</t>
  </si>
  <si>
    <t>Taxi or Car Service</t>
  </si>
  <si>
    <t>Explanation</t>
  </si>
  <si>
    <t>Instructions</t>
  </si>
  <si>
    <t>Your Expense Report #:</t>
  </si>
  <si>
    <t>Expense report title:</t>
  </si>
  <si>
    <t>https://c309.extensity-hosting.com</t>
  </si>
  <si>
    <t>View expense reports at:</t>
  </si>
  <si>
    <t>Notes</t>
  </si>
  <si>
    <t>Steps:</t>
  </si>
  <si>
    <t>1. Fill out each of the Worksheets/Tabs with a list of expense items, one on each row</t>
  </si>
  <si>
    <t>Receipts folder:</t>
  </si>
  <si>
    <t>2. Put all your receipts in one folder</t>
  </si>
  <si>
    <t>4. Select the folder where your receipts are (they will automatically be uploaded)</t>
  </si>
  <si>
    <t>5. Follow the instructions on the screen</t>
  </si>
  <si>
    <t>Print all your Uber and Lyft receipts into PDFs. Multiple receipts can go into one PDF.</t>
  </si>
  <si>
    <t>Do not use the McKinsey PDF printer, as it creates encrypted PDFs.</t>
  </si>
  <si>
    <t>Instead, try the CutePDF writer or printing using Chrome</t>
  </si>
  <si>
    <t>Click the below button, and select the file(s) with your Lyft/Uber receipts</t>
  </si>
  <si>
    <t>(needed for trips to/from "Other", "Home" to "Office)</t>
  </si>
  <si>
    <t>This tool can automatically scan your printed PDF receipts and add the relevant rides (dates, amounts)</t>
  </si>
  <si>
    <t>Uber trip at 01:32AM</t>
  </si>
  <si>
    <t>San Francisco</t>
  </si>
  <si>
    <t>Meal 1</t>
  </si>
  <si>
    <t>Meal 2</t>
  </si>
  <si>
    <t>Meal 3</t>
  </si>
  <si>
    <t>Meal 4</t>
  </si>
  <si>
    <t>Meal 5</t>
  </si>
  <si>
    <t>Meal 6</t>
  </si>
  <si>
    <t>Meal 7</t>
  </si>
  <si>
    <t>Meal 8</t>
  </si>
  <si>
    <t>Meal 9</t>
  </si>
  <si>
    <t>Meal 10</t>
  </si>
  <si>
    <t>Summary</t>
  </si>
  <si>
    <t>Meals 1</t>
  </si>
  <si>
    <t>Meals 2</t>
  </si>
  <si>
    <t>Meals 3</t>
  </si>
  <si>
    <t>Taxi</t>
  </si>
  <si>
    <t>ABC123</t>
  </si>
  <si>
    <t>Try importing from the "Uber and Lyft" tab!</t>
  </si>
  <si>
    <t>In-N-Out Burger</t>
  </si>
  <si>
    <t>Westin St. Regis</t>
  </si>
  <si>
    <t>You can use this spreadsheet to easily fill out the most common types of expenses with fewer clicks!</t>
  </si>
  <si>
    <t>ExpensesPlus instructions</t>
  </si>
  <si>
    <t>Peter Xu;Another Person</t>
  </si>
  <si>
    <t>(You can leave "Charge code" blank if you only have one charge code in this report)</t>
  </si>
  <si>
    <t>(this will automatically populate your empty "Charge Code" cells)</t>
  </si>
  <si>
    <t>(this will automatically populate your empty "Location" cells)</t>
  </si>
  <si>
    <t>(DO NOT USE: this will automatically be populated when you click "Submit expenses")</t>
  </si>
  <si>
    <t>Default charge code:</t>
  </si>
  <si>
    <t>Default location:</t>
  </si>
  <si>
    <r>
      <t xml:space="preserve">3. Click the </t>
    </r>
    <r>
      <rPr>
        <b/>
        <sz val="11"/>
        <rFont val="Calibri"/>
        <family val="2"/>
        <scheme val="minor"/>
      </rPr>
      <t>"Create expense report"</t>
    </r>
    <r>
      <rPr>
        <sz val="11"/>
        <rFont val="Calibri"/>
        <family val="2"/>
        <scheme val="minor"/>
      </rPr>
      <t xml:space="preserve"> button (and optionally, enter a Default charge code or Default location)</t>
    </r>
  </si>
  <si>
    <t>Uber and Lyft (experimental: likely does not work)</t>
  </si>
  <si>
    <t>This Excel spreadsheet and its associated program was originally created by Peter Xu, a SVO BA who joined in 2014. Thank you for using and testing it!
If you have any feedback, please email me at px.peter.xu@gmail.com or open an issue at https://github.com/pxpeterxu/expensesplus</t>
  </si>
  <si>
    <t>(v0.4.1; updated 2016-10-17)</t>
  </si>
  <si>
    <t>(The rest can still be added manually within the ters.mckinsey.com web interface.)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</si>
</sst>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m/d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164" fontId="0" fillId="0" borderId="0" xfId="0" applyNumberFormat="1"/>
    <xf numFmtId="164" fontId="1" fillId="0" borderId="0" xfId="0" applyNumberFormat="1" applyFont="1"/>
    <xf numFmtId="0" fontId="2" fillId="0" borderId="0" xfId="0" applyFont="1"/>
    <xf numFmtId="164" fontId="3" fillId="0" borderId="0" xfId="0" applyNumberFormat="1" applyFont="1"/>
    <xf numFmtId="0" fontId="3" fillId="0" borderId="0" xfId="0" applyFont="1"/>
    <xf numFmtId="2" fontId="3" fillId="0" borderId="0" xfId="0" applyNumberFormat="1" applyFont="1"/>
    <xf numFmtId="2" fontId="0" fillId="0" borderId="0" xfId="0" applyNumberFormat="1"/>
    <xf numFmtId="2" fontId="1" fillId="0" borderId="1" xfId="0" applyNumberFormat="1" applyFont="1" applyBorder="1" applyAlignment="1">
      <alignment horizontal="centerContinuous"/>
    </xf>
    <xf numFmtId="2" fontId="1" fillId="0" borderId="0" xfId="0" applyNumberFormat="1" applyFont="1"/>
    <xf numFmtId="0" fontId="3" fillId="0" borderId="0" xfId="0" applyNumberFormat="1" applyFont="1"/>
    <xf numFmtId="0" fontId="0" fillId="0" borderId="0" xfId="0" applyNumberFormat="1"/>
    <xf numFmtId="0" fontId="1" fillId="0" borderId="0" xfId="0" applyNumberFormat="1" applyFont="1"/>
    <xf numFmtId="0" fontId="4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0" fillId="0" borderId="0" xfId="0" applyFont="1"/>
    <xf numFmtId="0" fontId="7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6" fillId="0" borderId="0" xfId="0" applyFont="1" applyAlignment="1"/>
    <xf numFmtId="0" fontId="11" fillId="0" borderId="0" xfId="1"/>
    <xf numFmtId="0" fontId="0" fillId="0" borderId="0" xfId="0" applyFont="1"/>
    <xf numFmtId="2" fontId="0" fillId="0" borderId="0" xfId="0" applyNumberFormat="1" applyFont="1"/>
    <xf numFmtId="0" fontId="0" fillId="0" borderId="0" xfId="0" applyAlignment="1">
      <alignment wrapText="1"/>
    </xf>
    <xf numFmtId="14" fontId="3" fillId="0" borderId="0" xfId="0" applyNumberFormat="1" applyFont="1"/>
    <xf numFmtId="14" fontId="1" fillId="0" borderId="1" xfId="0" applyNumberFormat="1" applyFont="1" applyBorder="1" applyAlignment="1">
      <alignment horizontal="centerContinuous"/>
    </xf>
    <xf numFmtId="14" fontId="1" fillId="0" borderId="0" xfId="0" applyNumberFormat="1" applyFont="1"/>
    <xf numFmtId="14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Continuous" vertical="center" wrapText="1"/>
    </xf>
    <xf numFmtId="0" fontId="12" fillId="0" borderId="0" xfId="0" applyFont="1" applyAlignment="1"/>
    <xf numFmtId="0" fontId="8" fillId="0" borderId="0" xfId="0" applyFont="1" applyAlignment="1">
      <alignment horizontal="left" indent="2"/>
    </xf>
    <xf numFmtId="0" fontId="12" fillId="0" borderId="0" xfId="0" applyFont="1"/>
  </cellXfs>
  <cellStyles count="2">
    <cellStyle name="Hyperlink" xfId="1" builtinId="8"/>
    <cellStyle name="Normal" xfId="0" builtinId="0"/>
  </cellStyles>
  <dxfs count="4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19</xdr:row>
          <xdr:rowOff>22860</xdr:rowOff>
        </xdr:from>
        <xdr:to>
          <xdr:col>0</xdr:col>
          <xdr:colOff>1569720</xdr:colOff>
          <xdr:row>22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expense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21</xdr:row>
          <xdr:rowOff>30480</xdr:rowOff>
        </xdr:from>
        <xdr:to>
          <xdr:col>9</xdr:col>
          <xdr:colOff>182880</xdr:colOff>
          <xdr:row>23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all expense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14</xdr:row>
          <xdr:rowOff>30480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Lyft 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14</xdr:row>
          <xdr:rowOff>38100</xdr:rowOff>
        </xdr:from>
        <xdr:to>
          <xdr:col>7</xdr:col>
          <xdr:colOff>495300</xdr:colOff>
          <xdr:row>16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Uber recepts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309.extensity-hosting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cutepdf.com/Products/CutePDF/writer.asp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I25"/>
  <sheetViews>
    <sheetView tabSelected="1" workbookViewId="0"/>
  </sheetViews>
  <sheetFormatPr defaultRowHeight="14.4" x14ac:dyDescent="0.3"/>
  <cols>
    <col min="1" max="1" width="36" style="21" customWidth="1"/>
    <col min="2" max="2" width="15.44140625" customWidth="1"/>
    <col min="9" max="9" width="10.5546875" bestFit="1" customWidth="1"/>
  </cols>
  <sheetData>
    <row r="1" spans="1:9" ht="23.4" x14ac:dyDescent="0.45">
      <c r="A1" s="18" t="s">
        <v>431</v>
      </c>
      <c r="C1" s="23" t="s">
        <v>442</v>
      </c>
    </row>
    <row r="2" spans="1:9" x14ac:dyDescent="0.3">
      <c r="A2" s="19"/>
    </row>
    <row r="3" spans="1:9" x14ac:dyDescent="0.3">
      <c r="A3" s="19" t="s">
        <v>430</v>
      </c>
    </row>
    <row r="4" spans="1:9" x14ac:dyDescent="0.3">
      <c r="A4" s="19" t="s">
        <v>443</v>
      </c>
    </row>
    <row r="5" spans="1:9" x14ac:dyDescent="0.3">
      <c r="A5" s="19"/>
    </row>
    <row r="6" spans="1:9" x14ac:dyDescent="0.3">
      <c r="A6" s="20" t="s">
        <v>397</v>
      </c>
      <c r="H6" s="1" t="s">
        <v>421</v>
      </c>
    </row>
    <row r="7" spans="1:9" x14ac:dyDescent="0.3">
      <c r="A7" s="19" t="s">
        <v>398</v>
      </c>
      <c r="H7" s="23" t="s">
        <v>0</v>
      </c>
      <c r="I7" s="30">
        <f>SUM(Hotels!$E:$E)</f>
        <v>1301.25</v>
      </c>
    </row>
    <row r="8" spans="1:9" x14ac:dyDescent="0.3">
      <c r="A8" s="33" t="s">
        <v>433</v>
      </c>
      <c r="H8" s="23"/>
      <c r="I8" s="30"/>
    </row>
    <row r="9" spans="1:9" x14ac:dyDescent="0.3">
      <c r="A9" s="19" t="s">
        <v>400</v>
      </c>
      <c r="H9" s="23" t="s">
        <v>422</v>
      </c>
      <c r="I9" s="30">
        <f>SUM('Meals 1 - Alone'!$D:$D)</f>
        <v>12.71</v>
      </c>
    </row>
    <row r="10" spans="1:9" x14ac:dyDescent="0.3">
      <c r="A10" s="19" t="s">
        <v>439</v>
      </c>
      <c r="H10" s="23" t="s">
        <v>423</v>
      </c>
      <c r="I10" s="30">
        <f>SUM('Meals 2 - In Office'!$D:$D)</f>
        <v>19.89</v>
      </c>
    </row>
    <row r="11" spans="1:9" x14ac:dyDescent="0.3">
      <c r="A11" s="19" t="s">
        <v>401</v>
      </c>
      <c r="H11" s="23" t="s">
        <v>424</v>
      </c>
      <c r="I11" s="30">
        <f>SUM('Meals 3 - Group Outside Office'!$D:$D)</f>
        <v>91.5</v>
      </c>
    </row>
    <row r="12" spans="1:9" x14ac:dyDescent="0.3">
      <c r="A12" s="19" t="s">
        <v>402</v>
      </c>
      <c r="H12" s="23" t="s">
        <v>425</v>
      </c>
      <c r="I12" s="30">
        <f>SUM(Taxi!$D:$D)</f>
        <v>33.799999999999997</v>
      </c>
    </row>
    <row r="13" spans="1:9" x14ac:dyDescent="0.3">
      <c r="A13" s="19"/>
      <c r="H13" s="1" t="s">
        <v>5</v>
      </c>
      <c r="I13" s="30">
        <f>SUM(I7:I12)</f>
        <v>1459.15</v>
      </c>
    </row>
    <row r="14" spans="1:9" x14ac:dyDescent="0.3">
      <c r="A14" s="20" t="s">
        <v>393</v>
      </c>
    </row>
    <row r="15" spans="1:9" x14ac:dyDescent="0.3">
      <c r="A15" s="1" t="s">
        <v>437</v>
      </c>
      <c r="C15" s="16" t="s">
        <v>434</v>
      </c>
    </row>
    <row r="16" spans="1:9" x14ac:dyDescent="0.3">
      <c r="A16" s="1" t="s">
        <v>438</v>
      </c>
      <c r="C16" s="16" t="s">
        <v>435</v>
      </c>
    </row>
    <row r="17" spans="1:3" x14ac:dyDescent="0.3">
      <c r="A17" s="19" t="s">
        <v>392</v>
      </c>
      <c r="B17" s="17"/>
      <c r="C17" s="16" t="s">
        <v>436</v>
      </c>
    </row>
    <row r="18" spans="1:3" x14ac:dyDescent="0.3">
      <c r="A18" s="19" t="s">
        <v>399</v>
      </c>
      <c r="B18" s="17"/>
      <c r="C18" s="16" t="s">
        <v>436</v>
      </c>
    </row>
    <row r="19" spans="1:3" x14ac:dyDescent="0.3">
      <c r="A19" s="20"/>
      <c r="B19" s="17"/>
      <c r="C19" s="16"/>
    </row>
    <row r="20" spans="1:3" x14ac:dyDescent="0.3">
      <c r="A20" s="19"/>
      <c r="C20" t="s">
        <v>395</v>
      </c>
    </row>
    <row r="21" spans="1:3" x14ac:dyDescent="0.3">
      <c r="A21" s="19"/>
      <c r="C21" s="22" t="s">
        <v>394</v>
      </c>
    </row>
    <row r="22" spans="1:3" x14ac:dyDescent="0.3">
      <c r="A22" s="19"/>
    </row>
    <row r="23" spans="1:3" x14ac:dyDescent="0.3">
      <c r="A23" s="19"/>
    </row>
    <row r="25" spans="1:3" x14ac:dyDescent="0.3">
      <c r="A25" s="32"/>
    </row>
  </sheetData>
  <conditionalFormatting sqref="B14">
    <cfRule type="expression" dxfId="3" priority="1">
      <formula>$B$14=""</formula>
    </cfRule>
  </conditionalFormatting>
  <hyperlinks>
    <hyperlink ref="C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ubmit_Expenses">
                <anchor moveWithCells="1" sizeWithCells="1">
                  <from>
                    <xdr:col>0</xdr:col>
                    <xdr:colOff>22860</xdr:colOff>
                    <xdr:row>19</xdr:row>
                    <xdr:rowOff>22860</xdr:rowOff>
                  </from>
                  <to>
                    <xdr:col>0</xdr:col>
                    <xdr:colOff>1569720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lear_All">
                <anchor moveWithCells="1" sizeWithCells="1">
                  <from>
                    <xdr:col>6</xdr:col>
                    <xdr:colOff>152400</xdr:colOff>
                    <xdr:row>21</xdr:row>
                    <xdr:rowOff>30480</xdr:rowOff>
                  </from>
                  <to>
                    <xdr:col>9</xdr:col>
                    <xdr:colOff>182880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A1:B10"/>
  <sheetViews>
    <sheetView zoomScaleNormal="100" workbookViewId="0"/>
  </sheetViews>
  <sheetFormatPr defaultRowHeight="14.4" x14ac:dyDescent="0.3"/>
  <cols>
    <col min="1" max="1" width="2.88671875" customWidth="1"/>
  </cols>
  <sheetData>
    <row r="1" spans="1:2" ht="23.4" x14ac:dyDescent="0.45">
      <c r="A1" s="18" t="s">
        <v>440</v>
      </c>
    </row>
    <row r="3" spans="1:2" x14ac:dyDescent="0.3">
      <c r="A3" t="s">
        <v>408</v>
      </c>
    </row>
    <row r="5" spans="1:2" x14ac:dyDescent="0.3">
      <c r="A5" s="1" t="s">
        <v>391</v>
      </c>
    </row>
    <row r="6" spans="1:2" x14ac:dyDescent="0.3">
      <c r="A6">
        <v>1</v>
      </c>
      <c r="B6" t="s">
        <v>403</v>
      </c>
    </row>
    <row r="7" spans="1:2" x14ac:dyDescent="0.3">
      <c r="B7" s="34" t="s">
        <v>404</v>
      </c>
    </row>
    <row r="8" spans="1:2" x14ac:dyDescent="0.3">
      <c r="B8" s="22" t="s">
        <v>405</v>
      </c>
    </row>
    <row r="10" spans="1:2" x14ac:dyDescent="0.3">
      <c r="A10">
        <v>2</v>
      </c>
      <c r="B10" t="s">
        <v>406</v>
      </c>
    </row>
  </sheetData>
  <hyperlinks>
    <hyperlink ref="B8" r:id="rId1"/>
  </hyperlinks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Import_Lyft_Receipts">
                <anchor moveWithCells="1" sizeWithCells="1">
                  <from>
                    <xdr:col>1</xdr:col>
                    <xdr:colOff>106680</xdr:colOff>
                    <xdr:row>14</xdr:row>
                    <xdr:rowOff>30480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Import_Uber_Receipts">
                <anchor moveWithCells="1" sizeWithCells="1">
                  <from>
                    <xdr:col>5</xdr:col>
                    <xdr:colOff>45720</xdr:colOff>
                    <xdr:row>14</xdr:row>
                    <xdr:rowOff>38100</xdr:rowOff>
                  </from>
                  <to>
                    <xdr:col>7</xdr:col>
                    <xdr:colOff>495300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"/>
  <sheetViews>
    <sheetView zoomScale="85" zoomScaleNormal="85" workbookViewId="0"/>
  </sheetViews>
  <sheetFormatPr defaultRowHeight="14.4" x14ac:dyDescent="0.3"/>
  <cols>
    <col min="1" max="1" width="11.88671875" bestFit="1" customWidth="1"/>
    <col min="2" max="2" width="19.109375" bestFit="1" customWidth="1"/>
    <col min="3" max="3" width="9.109375" style="2"/>
    <col min="4" max="4" width="9.109375" style="8"/>
  </cols>
  <sheetData>
    <row r="1" spans="1:7" s="6" customFormat="1" ht="23.4" x14ac:dyDescent="0.45">
      <c r="A1" s="4" t="s">
        <v>18</v>
      </c>
      <c r="C1" s="5"/>
      <c r="D1" s="7"/>
    </row>
    <row r="3" spans="1:7" x14ac:dyDescent="0.3">
      <c r="A3" s="1" t="s">
        <v>1</v>
      </c>
      <c r="B3" s="1" t="s">
        <v>4</v>
      </c>
      <c r="C3" s="3" t="s">
        <v>19</v>
      </c>
      <c r="D3" s="10" t="s">
        <v>20</v>
      </c>
      <c r="E3" s="1" t="s">
        <v>21</v>
      </c>
      <c r="F3" s="1" t="s">
        <v>15</v>
      </c>
      <c r="G3" s="23" t="s">
        <v>396</v>
      </c>
    </row>
    <row r="4" spans="1:7" x14ac:dyDescent="0.3">
      <c r="A4" t="s">
        <v>426</v>
      </c>
      <c r="B4" t="s">
        <v>410</v>
      </c>
      <c r="C4" s="2">
        <v>42082</v>
      </c>
      <c r="D4" s="8">
        <v>12.71</v>
      </c>
      <c r="E4" t="s">
        <v>364</v>
      </c>
      <c r="F4" t="s">
        <v>16</v>
      </c>
    </row>
  </sheetData>
  <dataValidations count="1">
    <dataValidation type="textLength" allowBlank="1" showInputMessage="1" showErrorMessage="1" sqref="A7:A1048576 A4:A5">
      <formula1>6</formula1>
      <formula2>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F4:F1048576</xm:sqref>
        </x14:dataValidation>
        <x14:dataValidation type="list" allowBlank="1" showInputMessage="1" showErrorMessage="1">
          <x14:formula1>
            <xm:f>Settings!$B$3:$B$5</xm:f>
          </x14:formula1>
          <xm:sqref>E4:E1048576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"/>
  <sheetViews>
    <sheetView zoomScale="85" zoomScaleNormal="85" workbookViewId="0"/>
  </sheetViews>
  <sheetFormatPr defaultRowHeight="14.4" outlineLevelCol="1" x14ac:dyDescent="0.3"/>
  <cols>
    <col min="1" max="1" width="11.88671875" bestFit="1" customWidth="1"/>
    <col min="2" max="2" width="19.109375" bestFit="1" customWidth="1"/>
    <col min="3" max="3" width="9.109375" style="2"/>
    <col min="4" max="4" width="10" style="2" bestFit="1" customWidth="1"/>
    <col min="5" max="5" width="9.109375" style="8"/>
    <col min="6" max="6" width="10.109375" style="8" bestFit="1" customWidth="1"/>
    <col min="7" max="8" width="9.109375" style="8"/>
    <col min="9" max="11" width="9.109375" style="8" customWidth="1" outlineLevel="1"/>
    <col min="12" max="14" width="9.109375" style="8"/>
    <col min="17" max="17" width="9.109375" style="2"/>
    <col min="19" max="19" width="9.109375" style="8"/>
    <col min="20" max="20" width="9.109375" style="2"/>
    <col min="22" max="22" width="9.109375" style="8"/>
    <col min="23" max="23" width="9.88671875" style="29" bestFit="1" customWidth="1"/>
    <col min="25" max="25" width="9.109375" style="8"/>
    <col min="26" max="26" width="9.109375" style="29"/>
    <col min="28" max="28" width="9.109375" style="8"/>
    <col min="29" max="29" width="9.109375" style="29"/>
    <col min="31" max="31" width="9.109375" style="8"/>
    <col min="32" max="32" width="9.109375" style="29"/>
    <col min="34" max="34" width="9.109375" style="8"/>
    <col min="35" max="35" width="9.109375" style="29"/>
    <col min="37" max="37" width="9.109375" style="8"/>
    <col min="38" max="38" width="9.109375" style="29"/>
    <col min="40" max="40" width="9.109375" style="8"/>
    <col min="41" max="41" width="9.109375" style="29"/>
    <col min="43" max="43" width="9.109375" style="8"/>
    <col min="44" max="44" width="9.109375" style="29"/>
    <col min="46" max="46" width="9.109375" style="8"/>
  </cols>
  <sheetData>
    <row r="1" spans="1:46" s="6" customFormat="1" ht="23.4" x14ac:dyDescent="0.45">
      <c r="A1" s="4" t="s">
        <v>0</v>
      </c>
      <c r="C1" s="5"/>
      <c r="D1" s="5"/>
      <c r="E1" s="7"/>
      <c r="F1" s="7"/>
      <c r="G1" s="7"/>
      <c r="H1" s="7"/>
      <c r="I1" s="7"/>
      <c r="J1" s="7"/>
      <c r="K1" s="7"/>
      <c r="L1" s="7"/>
      <c r="M1" s="7"/>
      <c r="N1" s="7"/>
      <c r="Q1" s="2"/>
      <c r="S1" s="8"/>
      <c r="T1" s="2"/>
      <c r="V1" s="8"/>
      <c r="W1" s="26"/>
      <c r="Y1" s="8"/>
      <c r="Z1" s="26"/>
      <c r="AB1" s="8"/>
      <c r="AC1" s="26"/>
      <c r="AE1" s="8"/>
      <c r="AF1" s="26"/>
      <c r="AH1" s="8"/>
      <c r="AI1" s="26"/>
      <c r="AK1" s="8"/>
      <c r="AL1" s="26"/>
      <c r="AN1" s="8"/>
      <c r="AO1" s="26"/>
      <c r="AQ1" s="8"/>
      <c r="AR1" s="26"/>
      <c r="AT1" s="8"/>
    </row>
    <row r="2" spans="1:46" x14ac:dyDescent="0.3">
      <c r="F2" s="9" t="s">
        <v>17</v>
      </c>
      <c r="G2" s="9"/>
      <c r="H2" s="9"/>
      <c r="I2" s="9"/>
      <c r="J2" s="9"/>
      <c r="K2" s="9"/>
      <c r="L2" s="9"/>
      <c r="M2" s="9"/>
      <c r="N2" s="9"/>
      <c r="Q2" s="9" t="s">
        <v>411</v>
      </c>
      <c r="R2" s="9"/>
      <c r="S2" s="9"/>
      <c r="T2" s="9" t="s">
        <v>412</v>
      </c>
      <c r="U2" s="9"/>
      <c r="V2" s="9"/>
      <c r="W2" s="27" t="s">
        <v>413</v>
      </c>
      <c r="X2" s="9"/>
      <c r="Y2" s="9"/>
      <c r="Z2" s="27" t="s">
        <v>414</v>
      </c>
      <c r="AA2" s="9"/>
      <c r="AB2" s="9"/>
      <c r="AC2" s="27" t="s">
        <v>415</v>
      </c>
      <c r="AD2" s="9"/>
      <c r="AE2" s="9"/>
      <c r="AF2" s="27" t="s">
        <v>416</v>
      </c>
      <c r="AG2" s="9"/>
      <c r="AH2" s="9"/>
      <c r="AI2" s="27" t="s">
        <v>417</v>
      </c>
      <c r="AJ2" s="9"/>
      <c r="AK2" s="9"/>
      <c r="AL2" s="27" t="s">
        <v>418</v>
      </c>
      <c r="AM2" s="9"/>
      <c r="AN2" s="9"/>
      <c r="AO2" s="27" t="s">
        <v>419</v>
      </c>
      <c r="AP2" s="9"/>
      <c r="AQ2" s="9"/>
      <c r="AR2" s="27" t="s">
        <v>420</v>
      </c>
      <c r="AS2" s="9"/>
      <c r="AT2" s="9"/>
    </row>
    <row r="3" spans="1:46" x14ac:dyDescent="0.3">
      <c r="A3" s="1" t="s">
        <v>1</v>
      </c>
      <c r="B3" s="1" t="s">
        <v>4</v>
      </c>
      <c r="C3" s="3" t="s">
        <v>2</v>
      </c>
      <c r="D3" s="3" t="s">
        <v>3</v>
      </c>
      <c r="E3" s="10" t="s">
        <v>5</v>
      </c>
      <c r="F3" s="10" t="s">
        <v>6</v>
      </c>
      <c r="G3" s="24" t="s">
        <v>7</v>
      </c>
      <c r="H3" s="24" t="s">
        <v>8</v>
      </c>
      <c r="I3" s="24" t="s">
        <v>9</v>
      </c>
      <c r="J3" s="24" t="s">
        <v>10</v>
      </c>
      <c r="K3" s="24" t="s">
        <v>11</v>
      </c>
      <c r="L3" s="24" t="s">
        <v>14</v>
      </c>
      <c r="M3" s="24" t="s">
        <v>13</v>
      </c>
      <c r="N3" s="24" t="s">
        <v>12</v>
      </c>
      <c r="O3" s="1" t="s">
        <v>15</v>
      </c>
      <c r="P3" s="23" t="s">
        <v>396</v>
      </c>
      <c r="Q3" s="3" t="s">
        <v>19</v>
      </c>
      <c r="R3" s="1" t="s">
        <v>21</v>
      </c>
      <c r="S3" s="10" t="s">
        <v>20</v>
      </c>
      <c r="T3" s="3" t="s">
        <v>19</v>
      </c>
      <c r="U3" s="1" t="s">
        <v>21</v>
      </c>
      <c r="V3" s="10" t="s">
        <v>20</v>
      </c>
      <c r="W3" s="28" t="s">
        <v>19</v>
      </c>
      <c r="X3" s="1" t="s">
        <v>21</v>
      </c>
      <c r="Y3" s="10" t="s">
        <v>20</v>
      </c>
      <c r="Z3" s="28" t="s">
        <v>19</v>
      </c>
      <c r="AA3" s="1" t="s">
        <v>21</v>
      </c>
      <c r="AB3" s="10" t="s">
        <v>20</v>
      </c>
      <c r="AC3" s="28" t="s">
        <v>19</v>
      </c>
      <c r="AD3" s="1" t="s">
        <v>21</v>
      </c>
      <c r="AE3" s="10" t="s">
        <v>20</v>
      </c>
      <c r="AF3" s="28" t="s">
        <v>19</v>
      </c>
      <c r="AG3" s="1" t="s">
        <v>21</v>
      </c>
      <c r="AH3" s="10" t="s">
        <v>20</v>
      </c>
      <c r="AI3" s="28" t="s">
        <v>19</v>
      </c>
      <c r="AJ3" s="1" t="s">
        <v>21</v>
      </c>
      <c r="AK3" s="10" t="s">
        <v>20</v>
      </c>
      <c r="AL3" s="28" t="s">
        <v>19</v>
      </c>
      <c r="AM3" s="1" t="s">
        <v>21</v>
      </c>
      <c r="AN3" s="10" t="s">
        <v>20</v>
      </c>
      <c r="AO3" s="28" t="s">
        <v>19</v>
      </c>
      <c r="AP3" s="1" t="s">
        <v>21</v>
      </c>
      <c r="AQ3" s="10" t="s">
        <v>20</v>
      </c>
      <c r="AR3" s="28" t="s">
        <v>19</v>
      </c>
      <c r="AS3" s="1" t="s">
        <v>21</v>
      </c>
      <c r="AT3" s="10" t="s">
        <v>20</v>
      </c>
    </row>
    <row r="4" spans="1:46" x14ac:dyDescent="0.3">
      <c r="A4" t="s">
        <v>426</v>
      </c>
      <c r="B4" t="s">
        <v>410</v>
      </c>
      <c r="C4" s="2">
        <v>42071</v>
      </c>
      <c r="D4" s="2">
        <v>42075</v>
      </c>
      <c r="E4" s="8">
        <f t="shared" ref="E4" si="0">SUM(SUM(F4:N4)*(D4-C4),S4,V4,Y4,AB4,AE4,AH4,AK4,AN4,AQ4,AT4)</f>
        <v>1301.25</v>
      </c>
      <c r="F4" s="8">
        <v>249</v>
      </c>
      <c r="G4" s="8">
        <v>14.94</v>
      </c>
      <c r="H4" s="8">
        <v>17.43</v>
      </c>
      <c r="I4" s="8">
        <v>4.9800000000000004</v>
      </c>
      <c r="J4" s="8">
        <v>4.9800000000000004</v>
      </c>
      <c r="O4" t="s">
        <v>16</v>
      </c>
      <c r="P4" t="s">
        <v>429</v>
      </c>
      <c r="Q4" s="2">
        <v>42072</v>
      </c>
      <c r="R4" t="s">
        <v>364</v>
      </c>
      <c r="S4" s="8">
        <v>41.33</v>
      </c>
      <c r="T4" s="2">
        <v>42073</v>
      </c>
      <c r="U4" t="s">
        <v>364</v>
      </c>
      <c r="V4" s="8">
        <v>45</v>
      </c>
      <c r="W4" s="29">
        <v>42074</v>
      </c>
      <c r="X4" t="s">
        <v>364</v>
      </c>
      <c r="Y4" s="8">
        <v>49.6</v>
      </c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O4:O1048576</xm:sqref>
        </x14:dataValidation>
        <x14:dataValidation type="list" allowBlank="1" showInputMessage="1" showErrorMessage="1">
          <x14:formula1>
            <xm:f>Settings!$B$3:$B$5</xm:f>
          </x14:formula1>
          <xm:sqref>R4:R1048576 U4:U1048576 X4:X1048576 AA4:AA1048576 AD4:AD1048576 AG4:AG1048576 AJ4:AJ1048576 AM4:AM1048576 AP4:AP1048576 AS4:AS1048576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"/>
  <sheetViews>
    <sheetView zoomScale="85" zoomScaleNormal="85" workbookViewId="0"/>
  </sheetViews>
  <sheetFormatPr defaultRowHeight="14.4" x14ac:dyDescent="0.3"/>
  <cols>
    <col min="1" max="1" width="11.88671875" bestFit="1" customWidth="1"/>
    <col min="2" max="2" width="19.109375" bestFit="1" customWidth="1"/>
    <col min="3" max="3" width="9.109375" style="2"/>
    <col min="4" max="4" width="9.109375" style="8"/>
    <col min="5" max="5" width="19.44140625" style="2" customWidth="1"/>
    <col min="6" max="6" width="13.88671875" style="12" bestFit="1" customWidth="1"/>
  </cols>
  <sheetData>
    <row r="1" spans="1:8" s="6" customFormat="1" ht="23.4" x14ac:dyDescent="0.45">
      <c r="A1" s="4" t="s">
        <v>372</v>
      </c>
      <c r="C1" s="5"/>
      <c r="D1" s="7"/>
      <c r="E1" s="5"/>
      <c r="F1" s="11"/>
    </row>
    <row r="3" spans="1:8" x14ac:dyDescent="0.3">
      <c r="A3" s="1" t="s">
        <v>1</v>
      </c>
      <c r="B3" s="1" t="s">
        <v>4</v>
      </c>
      <c r="C3" s="3" t="s">
        <v>19</v>
      </c>
      <c r="D3" s="10" t="s">
        <v>20</v>
      </c>
      <c r="E3" s="3" t="s">
        <v>373</v>
      </c>
      <c r="F3" s="13" t="s">
        <v>374</v>
      </c>
      <c r="G3" s="1" t="s">
        <v>15</v>
      </c>
      <c r="H3" t="s">
        <v>396</v>
      </c>
    </row>
    <row r="4" spans="1:8" x14ac:dyDescent="0.3">
      <c r="A4" t="s">
        <v>426</v>
      </c>
      <c r="B4" t="s">
        <v>410</v>
      </c>
      <c r="C4" s="2">
        <v>42073</v>
      </c>
      <c r="D4" s="8">
        <v>19.89</v>
      </c>
      <c r="E4" s="2" t="s">
        <v>368</v>
      </c>
      <c r="F4" s="12">
        <v>2</v>
      </c>
      <c r="G4" t="s">
        <v>16</v>
      </c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G4:G1048576</xm:sqref>
        </x14:dataValidation>
        <x14:dataValidation type="list" allowBlank="1" showInputMessage="1" showErrorMessage="1">
          <x14:formula1>
            <xm:f>Settings!$C$3:$C$5</xm:f>
          </x14:formula1>
          <xm:sqref>E4:E1048576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zoomScale="85" zoomScaleNormal="85" workbookViewId="0"/>
  </sheetViews>
  <sheetFormatPr defaultRowHeight="14.4" x14ac:dyDescent="0.3"/>
  <cols>
    <col min="1" max="1" width="11.88671875" bestFit="1" customWidth="1"/>
    <col min="2" max="2" width="19.109375" bestFit="1" customWidth="1"/>
    <col min="3" max="3" width="9.109375" style="2"/>
    <col min="4" max="4" width="9.109375" style="8"/>
    <col min="5" max="5" width="27.109375" style="2" bestFit="1" customWidth="1"/>
    <col min="6" max="6" width="9.33203125" style="2" bestFit="1" customWidth="1"/>
    <col min="7" max="7" width="13.88671875" style="12" bestFit="1" customWidth="1"/>
    <col min="8" max="8" width="23.6640625" style="12" customWidth="1"/>
  </cols>
  <sheetData>
    <row r="1" spans="1:10" s="6" customFormat="1" ht="23.4" x14ac:dyDescent="0.45">
      <c r="A1" s="4" t="s">
        <v>375</v>
      </c>
      <c r="C1" s="5"/>
      <c r="D1" s="7"/>
      <c r="E1" s="5"/>
      <c r="F1" s="5"/>
      <c r="G1" s="11"/>
      <c r="H1" s="11"/>
    </row>
    <row r="2" spans="1:10" ht="28.8" x14ac:dyDescent="0.3">
      <c r="H2" s="14" t="s">
        <v>378</v>
      </c>
    </row>
    <row r="3" spans="1:10" x14ac:dyDescent="0.3">
      <c r="A3" s="1" t="s">
        <v>1</v>
      </c>
      <c r="B3" s="1" t="s">
        <v>4</v>
      </c>
      <c r="C3" s="3" t="s">
        <v>19</v>
      </c>
      <c r="D3" s="10" t="s">
        <v>20</v>
      </c>
      <c r="E3" s="3" t="s">
        <v>373</v>
      </c>
      <c r="F3" s="3" t="s">
        <v>21</v>
      </c>
      <c r="G3" s="13" t="s">
        <v>376</v>
      </c>
      <c r="H3" s="13" t="s">
        <v>377</v>
      </c>
      <c r="I3" s="1" t="s">
        <v>15</v>
      </c>
      <c r="J3" s="23" t="s">
        <v>396</v>
      </c>
    </row>
    <row r="4" spans="1:10" x14ac:dyDescent="0.3">
      <c r="A4" t="s">
        <v>426</v>
      </c>
      <c r="B4" t="s">
        <v>410</v>
      </c>
      <c r="C4" s="2">
        <v>42079</v>
      </c>
      <c r="D4" s="8">
        <v>91.5</v>
      </c>
      <c r="E4" s="2" t="s">
        <v>370</v>
      </c>
      <c r="F4" s="2" t="s">
        <v>364</v>
      </c>
      <c r="G4" s="2" t="s">
        <v>428</v>
      </c>
      <c r="H4" s="2" t="s">
        <v>432</v>
      </c>
      <c r="I4" s="2" t="s">
        <v>16</v>
      </c>
    </row>
    <row r="5" spans="1:10" x14ac:dyDescent="0.3">
      <c r="G5" s="2"/>
      <c r="H5" s="2"/>
      <c r="I5" s="2"/>
      <c r="J5" s="2"/>
    </row>
  </sheetData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Settings!$A$3:$A$340</xm:f>
          </x14:formula1>
          <xm:sqref>I4:I1048576</xm:sqref>
        </x14:dataValidation>
        <x14:dataValidation type="list" allowBlank="1" showInputMessage="1" showErrorMessage="1">
          <x14:formula1>
            <xm:f>Settings!$D$3:$D$5</xm:f>
          </x14:formula1>
          <xm:sqref>E1:E1048576</xm:sqref>
        </x14:dataValidation>
        <x14:dataValidation type="list" allowBlank="1" showInputMessage="1" showErrorMessage="1">
          <x14:formula1>
            <xm:f>Settings!$B$3:$B$5</xm:f>
          </x14:formula1>
          <xm:sqref>F1:F1048576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4"/>
  <sheetViews>
    <sheetView zoomScale="85" zoomScaleNormal="85" workbookViewId="0"/>
  </sheetViews>
  <sheetFormatPr defaultRowHeight="14.4" x14ac:dyDescent="0.3"/>
  <cols>
    <col min="1" max="1" width="11.88671875" bestFit="1" customWidth="1"/>
    <col min="2" max="2" width="19.109375" bestFit="1" customWidth="1"/>
    <col min="3" max="3" width="9.109375" style="2"/>
    <col min="4" max="4" width="9.109375" style="8"/>
    <col min="5" max="5" width="10.88671875" style="2" customWidth="1"/>
    <col min="6" max="6" width="9.33203125" style="2" bestFit="1" customWidth="1"/>
    <col min="8" max="8" width="21.6640625" customWidth="1"/>
    <col min="9" max="9" width="26.5546875" customWidth="1"/>
  </cols>
  <sheetData>
    <row r="1" spans="1:9" s="6" customFormat="1" ht="23.4" x14ac:dyDescent="0.45">
      <c r="A1" s="4" t="s">
        <v>389</v>
      </c>
      <c r="C1" s="5"/>
      <c r="D1" s="7"/>
      <c r="E1" s="5"/>
      <c r="F1" s="5"/>
      <c r="H1" s="4"/>
    </row>
    <row r="2" spans="1:9" ht="45" customHeight="1" x14ac:dyDescent="0.3">
      <c r="A2" s="31" t="s">
        <v>427</v>
      </c>
      <c r="B2" s="31"/>
      <c r="H2" s="15" t="s">
        <v>407</v>
      </c>
    </row>
    <row r="3" spans="1:9" x14ac:dyDescent="0.3">
      <c r="A3" s="1" t="s">
        <v>1</v>
      </c>
      <c r="B3" s="1" t="s">
        <v>4</v>
      </c>
      <c r="C3" s="3" t="s">
        <v>19</v>
      </c>
      <c r="D3" s="10" t="s">
        <v>20</v>
      </c>
      <c r="E3" s="3" t="s">
        <v>379</v>
      </c>
      <c r="F3" s="3" t="s">
        <v>380</v>
      </c>
      <c r="G3" s="1" t="s">
        <v>15</v>
      </c>
      <c r="H3" s="1" t="s">
        <v>390</v>
      </c>
      <c r="I3" s="1" t="s">
        <v>396</v>
      </c>
    </row>
    <row r="4" spans="1:9" x14ac:dyDescent="0.3">
      <c r="A4" t="s">
        <v>426</v>
      </c>
      <c r="B4" t="s">
        <v>410</v>
      </c>
      <c r="C4" s="2">
        <v>42072</v>
      </c>
      <c r="D4" s="8">
        <v>33.799999999999997</v>
      </c>
      <c r="E4" s="2" t="s">
        <v>383</v>
      </c>
      <c r="F4" s="2" t="s">
        <v>385</v>
      </c>
      <c r="G4" s="2" t="s">
        <v>16</v>
      </c>
      <c r="I4" t="s">
        <v>409</v>
      </c>
    </row>
    <row r="5" spans="1:9" x14ac:dyDescent="0.3">
      <c r="G5" s="2"/>
    </row>
    <row r="6" spans="1:9" x14ac:dyDescent="0.3">
      <c r="G6" s="2"/>
    </row>
    <row r="7" spans="1:9" x14ac:dyDescent="0.3">
      <c r="G7" s="2"/>
    </row>
    <row r="8" spans="1:9" x14ac:dyDescent="0.3">
      <c r="G8" s="2"/>
    </row>
    <row r="9" spans="1:9" x14ac:dyDescent="0.3">
      <c r="G9" s="2"/>
    </row>
    <row r="10" spans="1:9" x14ac:dyDescent="0.3">
      <c r="G10" s="2"/>
      <c r="H10" s="2"/>
    </row>
    <row r="11" spans="1:9" x14ac:dyDescent="0.3">
      <c r="G11" s="2"/>
      <c r="H11" s="2"/>
    </row>
    <row r="12" spans="1:9" x14ac:dyDescent="0.3">
      <c r="G12" s="2"/>
      <c r="H12" s="2"/>
      <c r="I12" s="2"/>
    </row>
    <row r="13" spans="1:9" x14ac:dyDescent="0.3">
      <c r="G13" s="2"/>
      <c r="H13" s="2"/>
    </row>
    <row r="14" spans="1:9" x14ac:dyDescent="0.3">
      <c r="G14" s="2"/>
      <c r="H14" s="2"/>
    </row>
    <row r="15" spans="1:9" x14ac:dyDescent="0.3">
      <c r="G15" s="2"/>
    </row>
    <row r="16" spans="1:9" x14ac:dyDescent="0.3">
      <c r="G16" s="2"/>
      <c r="H16" s="2"/>
    </row>
    <row r="17" spans="7:8" x14ac:dyDescent="0.3">
      <c r="G17" s="2"/>
      <c r="H17" s="2"/>
    </row>
    <row r="18" spans="7:8" x14ac:dyDescent="0.3">
      <c r="G18" s="2"/>
    </row>
    <row r="19" spans="7:8" x14ac:dyDescent="0.3">
      <c r="G19" s="2"/>
      <c r="H19" s="2"/>
    </row>
    <row r="20" spans="7:8" x14ac:dyDescent="0.3">
      <c r="G20" s="2"/>
      <c r="H20" s="2"/>
    </row>
    <row r="21" spans="7:8" x14ac:dyDescent="0.3">
      <c r="G21" s="2"/>
      <c r="H21" s="2"/>
    </row>
    <row r="22" spans="7:8" x14ac:dyDescent="0.3">
      <c r="G22" s="2"/>
    </row>
    <row r="23" spans="7:8" x14ac:dyDescent="0.3">
      <c r="G23" s="2"/>
    </row>
    <row r="24" spans="7:8" x14ac:dyDescent="0.3">
      <c r="G24" s="2"/>
    </row>
  </sheetData>
  <conditionalFormatting sqref="I12 H1:H1048576">
    <cfRule type="notContainsBlanks" dxfId="2" priority="2" stopIfTrue="1">
      <formula>LEN(TRIM(H1))&gt;0</formula>
    </cfRule>
    <cfRule type="expression" dxfId="1" priority="5">
      <formula>OR(AND($E1="Home",$F1="Office"),AND($E1="Office",$F1="Home"))</formula>
    </cfRule>
    <cfRule type="expression" dxfId="0" priority="6">
      <formula>OR($E1="Other",$F1="Other")</formula>
    </cfRule>
  </conditionalFormatting>
  <dataValidations count="1">
    <dataValidation type="textLength" allowBlank="1" showInputMessage="1" showErrorMessage="1" sqref="A4:A1048576">
      <formula1>6</formula1>
      <formula2>6</formula2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Settings!$A$3:$A$340</xm:f>
          </x14:formula1>
          <xm:sqref>G4:G1048576</xm:sqref>
        </x14:dataValidation>
        <x14:dataValidation type="list" allowBlank="1" showInputMessage="1" showErrorMessage="1">
          <x14:formula1>
            <xm:f>Settings!$E$3:$E$9</xm:f>
          </x14:formula1>
          <xm:sqref>E4:F1048576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40"/>
  <sheetViews>
    <sheetView workbookViewId="0"/>
  </sheetViews>
  <sheetFormatPr defaultRowHeight="14.4" x14ac:dyDescent="0.3"/>
  <cols>
    <col min="1" max="1" width="33.33203125" bestFit="1" customWidth="1"/>
    <col min="2" max="2" width="13.33203125" bestFit="1" customWidth="1"/>
    <col min="3" max="3" width="17.6640625" bestFit="1" customWidth="1"/>
    <col min="4" max="4" width="27.109375" bestFit="1" customWidth="1"/>
  </cols>
  <sheetData>
    <row r="1" spans="1:5" x14ac:dyDescent="0.3">
      <c r="A1" s="1" t="s">
        <v>22</v>
      </c>
    </row>
    <row r="2" spans="1:5" x14ac:dyDescent="0.3">
      <c r="A2" s="1" t="s">
        <v>26</v>
      </c>
      <c r="B2" s="1" t="s">
        <v>23</v>
      </c>
      <c r="C2" s="1" t="s">
        <v>24</v>
      </c>
      <c r="D2" s="1" t="s">
        <v>25</v>
      </c>
      <c r="E2" s="1" t="s">
        <v>381</v>
      </c>
    </row>
    <row r="3" spans="1:5" x14ac:dyDescent="0.3">
      <c r="A3" t="s">
        <v>27</v>
      </c>
      <c r="B3" t="s">
        <v>14</v>
      </c>
      <c r="C3" t="s">
        <v>366</v>
      </c>
      <c r="D3" t="s">
        <v>369</v>
      </c>
      <c r="E3" t="s">
        <v>383</v>
      </c>
    </row>
    <row r="4" spans="1:5" x14ac:dyDescent="0.3">
      <c r="A4" t="s">
        <v>28</v>
      </c>
      <c r="B4" t="s">
        <v>364</v>
      </c>
      <c r="C4" t="s">
        <v>367</v>
      </c>
      <c r="D4" t="s">
        <v>370</v>
      </c>
      <c r="E4" t="s">
        <v>384</v>
      </c>
    </row>
    <row r="5" spans="1:5" x14ac:dyDescent="0.3">
      <c r="A5" t="s">
        <v>29</v>
      </c>
      <c r="B5" t="s">
        <v>365</v>
      </c>
      <c r="C5" t="s">
        <v>368</v>
      </c>
      <c r="D5" t="s">
        <v>371</v>
      </c>
      <c r="E5" t="s">
        <v>382</v>
      </c>
    </row>
    <row r="6" spans="1:5" x14ac:dyDescent="0.3">
      <c r="A6" t="s">
        <v>30</v>
      </c>
      <c r="E6" t="s">
        <v>385</v>
      </c>
    </row>
    <row r="7" spans="1:5" x14ac:dyDescent="0.3">
      <c r="A7" t="s">
        <v>31</v>
      </c>
      <c r="E7" t="s">
        <v>386</v>
      </c>
    </row>
    <row r="8" spans="1:5" x14ac:dyDescent="0.3">
      <c r="A8" t="s">
        <v>32</v>
      </c>
      <c r="E8" t="s">
        <v>387</v>
      </c>
    </row>
    <row r="9" spans="1:5" x14ac:dyDescent="0.3">
      <c r="A9" t="s">
        <v>33</v>
      </c>
      <c r="E9" t="s">
        <v>388</v>
      </c>
    </row>
    <row r="10" spans="1:5" x14ac:dyDescent="0.3">
      <c r="A10" t="s">
        <v>34</v>
      </c>
    </row>
    <row r="11" spans="1:5" x14ac:dyDescent="0.3">
      <c r="A11" t="s">
        <v>35</v>
      </c>
    </row>
    <row r="12" spans="1:5" x14ac:dyDescent="0.3">
      <c r="A12" t="s">
        <v>36</v>
      </c>
    </row>
    <row r="13" spans="1:5" x14ac:dyDescent="0.3">
      <c r="A13" t="s">
        <v>37</v>
      </c>
    </row>
    <row r="14" spans="1:5" x14ac:dyDescent="0.3">
      <c r="A14" t="s">
        <v>38</v>
      </c>
    </row>
    <row r="15" spans="1:5" x14ac:dyDescent="0.3">
      <c r="A15" t="s">
        <v>39</v>
      </c>
    </row>
    <row r="16" spans="1:5" x14ac:dyDescent="0.3">
      <c r="A16" t="s">
        <v>40</v>
      </c>
    </row>
    <row r="17" spans="1:1" x14ac:dyDescent="0.3">
      <c r="A17" t="s">
        <v>41</v>
      </c>
    </row>
    <row r="18" spans="1:1" x14ac:dyDescent="0.3">
      <c r="A18" t="s">
        <v>42</v>
      </c>
    </row>
    <row r="19" spans="1:1" x14ac:dyDescent="0.3">
      <c r="A19" t="s">
        <v>43</v>
      </c>
    </row>
    <row r="20" spans="1:1" x14ac:dyDescent="0.3">
      <c r="A20" t="s">
        <v>44</v>
      </c>
    </row>
    <row r="21" spans="1:1" x14ac:dyDescent="0.3">
      <c r="A21" t="s">
        <v>45</v>
      </c>
    </row>
    <row r="22" spans="1:1" x14ac:dyDescent="0.3">
      <c r="A22" t="s">
        <v>46</v>
      </c>
    </row>
    <row r="23" spans="1:1" x14ac:dyDescent="0.3">
      <c r="A23" t="s">
        <v>47</v>
      </c>
    </row>
    <row r="24" spans="1:1" x14ac:dyDescent="0.3">
      <c r="A24" t="s">
        <v>48</v>
      </c>
    </row>
    <row r="25" spans="1:1" x14ac:dyDescent="0.3">
      <c r="A25" t="s">
        <v>49</v>
      </c>
    </row>
    <row r="26" spans="1:1" x14ac:dyDescent="0.3">
      <c r="A26" t="s">
        <v>50</v>
      </c>
    </row>
    <row r="27" spans="1:1" x14ac:dyDescent="0.3">
      <c r="A27" t="s">
        <v>51</v>
      </c>
    </row>
    <row r="28" spans="1:1" x14ac:dyDescent="0.3">
      <c r="A28" t="s">
        <v>52</v>
      </c>
    </row>
    <row r="29" spans="1:1" x14ac:dyDescent="0.3">
      <c r="A29" t="s">
        <v>53</v>
      </c>
    </row>
    <row r="30" spans="1:1" x14ac:dyDescent="0.3">
      <c r="A30" t="s">
        <v>54</v>
      </c>
    </row>
    <row r="31" spans="1:1" x14ac:dyDescent="0.3">
      <c r="A31" t="s">
        <v>55</v>
      </c>
    </row>
    <row r="32" spans="1:1" x14ac:dyDescent="0.3">
      <c r="A32" t="s">
        <v>56</v>
      </c>
    </row>
    <row r="33" spans="1:1" x14ac:dyDescent="0.3">
      <c r="A33" t="s">
        <v>57</v>
      </c>
    </row>
    <row r="34" spans="1:1" x14ac:dyDescent="0.3">
      <c r="A34" t="s">
        <v>58</v>
      </c>
    </row>
    <row r="35" spans="1:1" x14ac:dyDescent="0.3">
      <c r="A35" t="s">
        <v>59</v>
      </c>
    </row>
    <row r="36" spans="1:1" x14ac:dyDescent="0.3">
      <c r="A36" t="s">
        <v>60</v>
      </c>
    </row>
    <row r="37" spans="1:1" x14ac:dyDescent="0.3">
      <c r="A37" t="s">
        <v>61</v>
      </c>
    </row>
    <row r="38" spans="1:1" x14ac:dyDescent="0.3">
      <c r="A38" t="s">
        <v>62</v>
      </c>
    </row>
    <row r="39" spans="1:1" x14ac:dyDescent="0.3">
      <c r="A39" t="s">
        <v>63</v>
      </c>
    </row>
    <row r="40" spans="1:1" x14ac:dyDescent="0.3">
      <c r="A40" t="s">
        <v>64</v>
      </c>
    </row>
    <row r="41" spans="1:1" x14ac:dyDescent="0.3">
      <c r="A41" t="s">
        <v>65</v>
      </c>
    </row>
    <row r="42" spans="1:1" x14ac:dyDescent="0.3">
      <c r="A42" t="s">
        <v>66</v>
      </c>
    </row>
    <row r="43" spans="1:1" x14ac:dyDescent="0.3">
      <c r="A43" t="s">
        <v>67</v>
      </c>
    </row>
    <row r="44" spans="1:1" x14ac:dyDescent="0.3">
      <c r="A44" t="s">
        <v>68</v>
      </c>
    </row>
    <row r="45" spans="1:1" x14ac:dyDescent="0.3">
      <c r="A45" t="s">
        <v>69</v>
      </c>
    </row>
    <row r="46" spans="1:1" x14ac:dyDescent="0.3">
      <c r="A46" t="s">
        <v>70</v>
      </c>
    </row>
    <row r="47" spans="1:1" x14ac:dyDescent="0.3">
      <c r="A47" t="s">
        <v>71</v>
      </c>
    </row>
    <row r="48" spans="1:1" x14ac:dyDescent="0.3">
      <c r="A48" t="s">
        <v>72</v>
      </c>
    </row>
    <row r="49" spans="1:1" x14ac:dyDescent="0.3">
      <c r="A49" t="s">
        <v>73</v>
      </c>
    </row>
    <row r="50" spans="1:1" x14ac:dyDescent="0.3">
      <c r="A50" t="s">
        <v>74</v>
      </c>
    </row>
    <row r="51" spans="1:1" x14ac:dyDescent="0.3">
      <c r="A51" t="s">
        <v>75</v>
      </c>
    </row>
    <row r="52" spans="1:1" x14ac:dyDescent="0.3">
      <c r="A52" t="s">
        <v>76</v>
      </c>
    </row>
    <row r="53" spans="1:1" x14ac:dyDescent="0.3">
      <c r="A53" t="s">
        <v>77</v>
      </c>
    </row>
    <row r="54" spans="1:1" x14ac:dyDescent="0.3">
      <c r="A54" t="s">
        <v>78</v>
      </c>
    </row>
    <row r="55" spans="1:1" x14ac:dyDescent="0.3">
      <c r="A55" t="s">
        <v>79</v>
      </c>
    </row>
    <row r="56" spans="1:1" x14ac:dyDescent="0.3">
      <c r="A56" t="s">
        <v>80</v>
      </c>
    </row>
    <row r="57" spans="1:1" x14ac:dyDescent="0.3">
      <c r="A57" t="s">
        <v>81</v>
      </c>
    </row>
    <row r="58" spans="1:1" x14ac:dyDescent="0.3">
      <c r="A58" t="s">
        <v>82</v>
      </c>
    </row>
    <row r="59" spans="1:1" x14ac:dyDescent="0.3">
      <c r="A59" t="s">
        <v>83</v>
      </c>
    </row>
    <row r="60" spans="1:1" x14ac:dyDescent="0.3">
      <c r="A60" t="s">
        <v>84</v>
      </c>
    </row>
    <row r="61" spans="1:1" x14ac:dyDescent="0.3">
      <c r="A61" t="s">
        <v>85</v>
      </c>
    </row>
    <row r="62" spans="1:1" x14ac:dyDescent="0.3">
      <c r="A62" t="s">
        <v>86</v>
      </c>
    </row>
    <row r="63" spans="1:1" x14ac:dyDescent="0.3">
      <c r="A63" t="s">
        <v>87</v>
      </c>
    </row>
    <row r="64" spans="1:1" x14ac:dyDescent="0.3">
      <c r="A64" t="s">
        <v>88</v>
      </c>
    </row>
    <row r="65" spans="1:1" x14ac:dyDescent="0.3">
      <c r="A65" t="s">
        <v>89</v>
      </c>
    </row>
    <row r="66" spans="1:1" x14ac:dyDescent="0.3">
      <c r="A66" t="s">
        <v>90</v>
      </c>
    </row>
    <row r="67" spans="1:1" x14ac:dyDescent="0.3">
      <c r="A67" t="s">
        <v>91</v>
      </c>
    </row>
    <row r="68" spans="1:1" x14ac:dyDescent="0.3">
      <c r="A68" t="s">
        <v>92</v>
      </c>
    </row>
    <row r="69" spans="1:1" x14ac:dyDescent="0.3">
      <c r="A69" t="s">
        <v>93</v>
      </c>
    </row>
    <row r="70" spans="1:1" x14ac:dyDescent="0.3">
      <c r="A70" t="s">
        <v>94</v>
      </c>
    </row>
    <row r="71" spans="1:1" x14ac:dyDescent="0.3">
      <c r="A71" t="s">
        <v>95</v>
      </c>
    </row>
    <row r="72" spans="1:1" x14ac:dyDescent="0.3">
      <c r="A72" t="s">
        <v>96</v>
      </c>
    </row>
    <row r="73" spans="1:1" x14ac:dyDescent="0.3">
      <c r="A73" t="s">
        <v>97</v>
      </c>
    </row>
    <row r="74" spans="1:1" x14ac:dyDescent="0.3">
      <c r="A74" t="s">
        <v>98</v>
      </c>
    </row>
    <row r="75" spans="1:1" x14ac:dyDescent="0.3">
      <c r="A75" t="s">
        <v>99</v>
      </c>
    </row>
    <row r="76" spans="1:1" x14ac:dyDescent="0.3">
      <c r="A76" t="s">
        <v>100</v>
      </c>
    </row>
    <row r="77" spans="1:1" x14ac:dyDescent="0.3">
      <c r="A77" t="s">
        <v>101</v>
      </c>
    </row>
    <row r="78" spans="1:1" x14ac:dyDescent="0.3">
      <c r="A78" t="s">
        <v>102</v>
      </c>
    </row>
    <row r="79" spans="1:1" x14ac:dyDescent="0.3">
      <c r="A79" t="s">
        <v>103</v>
      </c>
    </row>
    <row r="80" spans="1:1" x14ac:dyDescent="0.3">
      <c r="A80" t="s">
        <v>104</v>
      </c>
    </row>
    <row r="81" spans="1:1" x14ac:dyDescent="0.3">
      <c r="A81" t="s">
        <v>105</v>
      </c>
    </row>
    <row r="82" spans="1:1" x14ac:dyDescent="0.3">
      <c r="A82" t="s">
        <v>106</v>
      </c>
    </row>
    <row r="83" spans="1:1" x14ac:dyDescent="0.3">
      <c r="A83" t="s">
        <v>107</v>
      </c>
    </row>
    <row r="84" spans="1:1" x14ac:dyDescent="0.3">
      <c r="A84" t="s">
        <v>108</v>
      </c>
    </row>
    <row r="85" spans="1:1" x14ac:dyDescent="0.3">
      <c r="A85" t="s">
        <v>109</v>
      </c>
    </row>
    <row r="86" spans="1:1" x14ac:dyDescent="0.3">
      <c r="A86" t="s">
        <v>110</v>
      </c>
    </row>
    <row r="87" spans="1:1" x14ac:dyDescent="0.3">
      <c r="A87" t="s">
        <v>111</v>
      </c>
    </row>
    <row r="88" spans="1:1" x14ac:dyDescent="0.3">
      <c r="A88" t="s">
        <v>112</v>
      </c>
    </row>
    <row r="89" spans="1:1" x14ac:dyDescent="0.3">
      <c r="A89" t="s">
        <v>113</v>
      </c>
    </row>
    <row r="90" spans="1:1" x14ac:dyDescent="0.3">
      <c r="A90" t="s">
        <v>114</v>
      </c>
    </row>
    <row r="91" spans="1:1" x14ac:dyDescent="0.3">
      <c r="A91" t="s">
        <v>115</v>
      </c>
    </row>
    <row r="92" spans="1:1" x14ac:dyDescent="0.3">
      <c r="A92" t="s">
        <v>116</v>
      </c>
    </row>
    <row r="93" spans="1:1" x14ac:dyDescent="0.3">
      <c r="A93" t="s">
        <v>117</v>
      </c>
    </row>
    <row r="94" spans="1:1" x14ac:dyDescent="0.3">
      <c r="A94" t="s">
        <v>118</v>
      </c>
    </row>
    <row r="95" spans="1:1" x14ac:dyDescent="0.3">
      <c r="A95" t="s">
        <v>119</v>
      </c>
    </row>
    <row r="96" spans="1:1" x14ac:dyDescent="0.3">
      <c r="A96" t="s">
        <v>120</v>
      </c>
    </row>
    <row r="97" spans="1:1" x14ac:dyDescent="0.3">
      <c r="A97" t="s">
        <v>121</v>
      </c>
    </row>
    <row r="98" spans="1:1" x14ac:dyDescent="0.3">
      <c r="A98" t="s">
        <v>122</v>
      </c>
    </row>
    <row r="99" spans="1:1" x14ac:dyDescent="0.3">
      <c r="A99" t="s">
        <v>123</v>
      </c>
    </row>
    <row r="100" spans="1:1" x14ac:dyDescent="0.3">
      <c r="A100" t="s">
        <v>124</v>
      </c>
    </row>
    <row r="101" spans="1:1" x14ac:dyDescent="0.3">
      <c r="A101" t="s">
        <v>125</v>
      </c>
    </row>
    <row r="102" spans="1:1" x14ac:dyDescent="0.3">
      <c r="A102" t="s">
        <v>126</v>
      </c>
    </row>
    <row r="103" spans="1:1" x14ac:dyDescent="0.3">
      <c r="A103" t="s">
        <v>127</v>
      </c>
    </row>
    <row r="104" spans="1:1" x14ac:dyDescent="0.3">
      <c r="A104" t="s">
        <v>128</v>
      </c>
    </row>
    <row r="105" spans="1:1" x14ac:dyDescent="0.3">
      <c r="A105" t="s">
        <v>129</v>
      </c>
    </row>
    <row r="106" spans="1:1" x14ac:dyDescent="0.3">
      <c r="A106" t="s">
        <v>130</v>
      </c>
    </row>
    <row r="107" spans="1:1" x14ac:dyDescent="0.3">
      <c r="A107" t="s">
        <v>131</v>
      </c>
    </row>
    <row r="108" spans="1:1" x14ac:dyDescent="0.3">
      <c r="A108" t="s">
        <v>132</v>
      </c>
    </row>
    <row r="109" spans="1:1" x14ac:dyDescent="0.3">
      <c r="A109" t="s">
        <v>133</v>
      </c>
    </row>
    <row r="110" spans="1:1" x14ac:dyDescent="0.3">
      <c r="A110" t="s">
        <v>134</v>
      </c>
    </row>
    <row r="111" spans="1:1" x14ac:dyDescent="0.3">
      <c r="A111" t="s">
        <v>135</v>
      </c>
    </row>
    <row r="112" spans="1:1" x14ac:dyDescent="0.3">
      <c r="A112" t="s">
        <v>136</v>
      </c>
    </row>
    <row r="113" spans="1:1" x14ac:dyDescent="0.3">
      <c r="A113" t="s">
        <v>137</v>
      </c>
    </row>
    <row r="114" spans="1:1" x14ac:dyDescent="0.3">
      <c r="A114" t="s">
        <v>138</v>
      </c>
    </row>
    <row r="115" spans="1:1" x14ac:dyDescent="0.3">
      <c r="A115" t="s">
        <v>139</v>
      </c>
    </row>
    <row r="116" spans="1:1" x14ac:dyDescent="0.3">
      <c r="A116" t="s">
        <v>140</v>
      </c>
    </row>
    <row r="117" spans="1:1" x14ac:dyDescent="0.3">
      <c r="A117" t="s">
        <v>141</v>
      </c>
    </row>
    <row r="118" spans="1:1" x14ac:dyDescent="0.3">
      <c r="A118" t="s">
        <v>142</v>
      </c>
    </row>
    <row r="119" spans="1:1" x14ac:dyDescent="0.3">
      <c r="A119" t="s">
        <v>143</v>
      </c>
    </row>
    <row r="120" spans="1:1" x14ac:dyDescent="0.3">
      <c r="A120" t="s">
        <v>144</v>
      </c>
    </row>
    <row r="121" spans="1:1" x14ac:dyDescent="0.3">
      <c r="A121" t="s">
        <v>145</v>
      </c>
    </row>
    <row r="122" spans="1:1" x14ac:dyDescent="0.3">
      <c r="A122" t="s">
        <v>146</v>
      </c>
    </row>
    <row r="123" spans="1:1" x14ac:dyDescent="0.3">
      <c r="A123" t="s">
        <v>147</v>
      </c>
    </row>
    <row r="124" spans="1:1" x14ac:dyDescent="0.3">
      <c r="A124" t="s">
        <v>148</v>
      </c>
    </row>
    <row r="125" spans="1:1" x14ac:dyDescent="0.3">
      <c r="A125" t="s">
        <v>149</v>
      </c>
    </row>
    <row r="126" spans="1:1" x14ac:dyDescent="0.3">
      <c r="A126" t="s">
        <v>150</v>
      </c>
    </row>
    <row r="127" spans="1:1" x14ac:dyDescent="0.3">
      <c r="A127" t="s">
        <v>151</v>
      </c>
    </row>
    <row r="128" spans="1:1" x14ac:dyDescent="0.3">
      <c r="A128" t="s">
        <v>152</v>
      </c>
    </row>
    <row r="129" spans="1:1" x14ac:dyDescent="0.3">
      <c r="A129" t="s">
        <v>153</v>
      </c>
    </row>
    <row r="130" spans="1:1" x14ac:dyDescent="0.3">
      <c r="A130" t="s">
        <v>154</v>
      </c>
    </row>
    <row r="131" spans="1:1" x14ac:dyDescent="0.3">
      <c r="A131" t="s">
        <v>155</v>
      </c>
    </row>
    <row r="132" spans="1:1" x14ac:dyDescent="0.3">
      <c r="A132" t="s">
        <v>156</v>
      </c>
    </row>
    <row r="133" spans="1:1" x14ac:dyDescent="0.3">
      <c r="A133" t="s">
        <v>157</v>
      </c>
    </row>
    <row r="134" spans="1:1" x14ac:dyDescent="0.3">
      <c r="A134" t="s">
        <v>158</v>
      </c>
    </row>
    <row r="135" spans="1:1" x14ac:dyDescent="0.3">
      <c r="A135" t="s">
        <v>159</v>
      </c>
    </row>
    <row r="136" spans="1:1" x14ac:dyDescent="0.3">
      <c r="A136" t="s">
        <v>160</v>
      </c>
    </row>
    <row r="137" spans="1:1" x14ac:dyDescent="0.3">
      <c r="A137" t="s">
        <v>161</v>
      </c>
    </row>
    <row r="138" spans="1:1" x14ac:dyDescent="0.3">
      <c r="A138" t="s">
        <v>162</v>
      </c>
    </row>
    <row r="139" spans="1:1" x14ac:dyDescent="0.3">
      <c r="A139" t="s">
        <v>163</v>
      </c>
    </row>
    <row r="140" spans="1:1" x14ac:dyDescent="0.3">
      <c r="A140" t="s">
        <v>164</v>
      </c>
    </row>
    <row r="141" spans="1:1" x14ac:dyDescent="0.3">
      <c r="A141" t="s">
        <v>165</v>
      </c>
    </row>
    <row r="142" spans="1:1" x14ac:dyDescent="0.3">
      <c r="A142" t="s">
        <v>166</v>
      </c>
    </row>
    <row r="143" spans="1:1" x14ac:dyDescent="0.3">
      <c r="A143" t="s">
        <v>167</v>
      </c>
    </row>
    <row r="144" spans="1:1" x14ac:dyDescent="0.3">
      <c r="A144" t="s">
        <v>168</v>
      </c>
    </row>
    <row r="145" spans="1:1" x14ac:dyDescent="0.3">
      <c r="A145" t="s">
        <v>169</v>
      </c>
    </row>
    <row r="146" spans="1:1" x14ac:dyDescent="0.3">
      <c r="A146" t="s">
        <v>170</v>
      </c>
    </row>
    <row r="147" spans="1:1" x14ac:dyDescent="0.3">
      <c r="A147" t="s">
        <v>171</v>
      </c>
    </row>
    <row r="148" spans="1:1" x14ac:dyDescent="0.3">
      <c r="A148" t="s">
        <v>172</v>
      </c>
    </row>
    <row r="149" spans="1:1" x14ac:dyDescent="0.3">
      <c r="A149" t="s">
        <v>173</v>
      </c>
    </row>
    <row r="150" spans="1:1" x14ac:dyDescent="0.3">
      <c r="A150" t="s">
        <v>174</v>
      </c>
    </row>
    <row r="151" spans="1:1" x14ac:dyDescent="0.3">
      <c r="A151" t="s">
        <v>175</v>
      </c>
    </row>
    <row r="152" spans="1:1" x14ac:dyDescent="0.3">
      <c r="A152" t="s">
        <v>176</v>
      </c>
    </row>
    <row r="153" spans="1:1" x14ac:dyDescent="0.3">
      <c r="A153" t="s">
        <v>177</v>
      </c>
    </row>
    <row r="154" spans="1:1" x14ac:dyDescent="0.3">
      <c r="A154" t="s">
        <v>178</v>
      </c>
    </row>
    <row r="155" spans="1:1" x14ac:dyDescent="0.3">
      <c r="A155" t="s">
        <v>179</v>
      </c>
    </row>
    <row r="156" spans="1:1" x14ac:dyDescent="0.3">
      <c r="A156" t="s">
        <v>180</v>
      </c>
    </row>
    <row r="157" spans="1:1" x14ac:dyDescent="0.3">
      <c r="A157" t="s">
        <v>181</v>
      </c>
    </row>
    <row r="158" spans="1:1" x14ac:dyDescent="0.3">
      <c r="A158" t="s">
        <v>182</v>
      </c>
    </row>
    <row r="159" spans="1:1" x14ac:dyDescent="0.3">
      <c r="A159" t="s">
        <v>183</v>
      </c>
    </row>
    <row r="160" spans="1:1" x14ac:dyDescent="0.3">
      <c r="A160" t="s">
        <v>184</v>
      </c>
    </row>
    <row r="161" spans="1:1" x14ac:dyDescent="0.3">
      <c r="A161" t="s">
        <v>185</v>
      </c>
    </row>
    <row r="162" spans="1:1" x14ac:dyDescent="0.3">
      <c r="A162" t="s">
        <v>186</v>
      </c>
    </row>
    <row r="163" spans="1:1" x14ac:dyDescent="0.3">
      <c r="A163" t="s">
        <v>187</v>
      </c>
    </row>
    <row r="164" spans="1:1" x14ac:dyDescent="0.3">
      <c r="A164" t="s">
        <v>188</v>
      </c>
    </row>
    <row r="165" spans="1:1" x14ac:dyDescent="0.3">
      <c r="A165" t="s">
        <v>189</v>
      </c>
    </row>
    <row r="166" spans="1:1" x14ac:dyDescent="0.3">
      <c r="A166" t="s">
        <v>190</v>
      </c>
    </row>
    <row r="167" spans="1:1" x14ac:dyDescent="0.3">
      <c r="A167" t="s">
        <v>191</v>
      </c>
    </row>
    <row r="168" spans="1:1" x14ac:dyDescent="0.3">
      <c r="A168" t="s">
        <v>192</v>
      </c>
    </row>
    <row r="169" spans="1:1" x14ac:dyDescent="0.3">
      <c r="A169" t="s">
        <v>193</v>
      </c>
    </row>
    <row r="170" spans="1:1" x14ac:dyDescent="0.3">
      <c r="A170" t="s">
        <v>194</v>
      </c>
    </row>
    <row r="171" spans="1:1" x14ac:dyDescent="0.3">
      <c r="A171" t="s">
        <v>195</v>
      </c>
    </row>
    <row r="172" spans="1:1" x14ac:dyDescent="0.3">
      <c r="A172" t="s">
        <v>196</v>
      </c>
    </row>
    <row r="173" spans="1:1" x14ac:dyDescent="0.3">
      <c r="A173" t="s">
        <v>197</v>
      </c>
    </row>
    <row r="174" spans="1:1" x14ac:dyDescent="0.3">
      <c r="A174" t="s">
        <v>198</v>
      </c>
    </row>
    <row r="175" spans="1:1" x14ac:dyDescent="0.3">
      <c r="A175" t="s">
        <v>199</v>
      </c>
    </row>
    <row r="176" spans="1:1" x14ac:dyDescent="0.3">
      <c r="A176" t="s">
        <v>200</v>
      </c>
    </row>
    <row r="177" spans="1:1" x14ac:dyDescent="0.3">
      <c r="A177" t="s">
        <v>201</v>
      </c>
    </row>
    <row r="178" spans="1:1" x14ac:dyDescent="0.3">
      <c r="A178" t="s">
        <v>202</v>
      </c>
    </row>
    <row r="179" spans="1:1" x14ac:dyDescent="0.3">
      <c r="A179" t="s">
        <v>203</v>
      </c>
    </row>
    <row r="180" spans="1:1" x14ac:dyDescent="0.3">
      <c r="A180" t="s">
        <v>204</v>
      </c>
    </row>
    <row r="181" spans="1:1" x14ac:dyDescent="0.3">
      <c r="A181" t="s">
        <v>205</v>
      </c>
    </row>
    <row r="182" spans="1:1" x14ac:dyDescent="0.3">
      <c r="A182" t="s">
        <v>206</v>
      </c>
    </row>
    <row r="183" spans="1:1" x14ac:dyDescent="0.3">
      <c r="A183" t="s">
        <v>207</v>
      </c>
    </row>
    <row r="184" spans="1:1" x14ac:dyDescent="0.3">
      <c r="A184" t="s">
        <v>208</v>
      </c>
    </row>
    <row r="185" spans="1:1" x14ac:dyDescent="0.3">
      <c r="A185" t="s">
        <v>209</v>
      </c>
    </row>
    <row r="186" spans="1:1" x14ac:dyDescent="0.3">
      <c r="A186" t="s">
        <v>210</v>
      </c>
    </row>
    <row r="187" spans="1:1" x14ac:dyDescent="0.3">
      <c r="A187" t="s">
        <v>211</v>
      </c>
    </row>
    <row r="188" spans="1:1" x14ac:dyDescent="0.3">
      <c r="A188" t="s">
        <v>212</v>
      </c>
    </row>
    <row r="189" spans="1:1" x14ac:dyDescent="0.3">
      <c r="A189" t="s">
        <v>213</v>
      </c>
    </row>
    <row r="190" spans="1:1" x14ac:dyDescent="0.3">
      <c r="A190" t="s">
        <v>214</v>
      </c>
    </row>
    <row r="191" spans="1:1" x14ac:dyDescent="0.3">
      <c r="A191" t="s">
        <v>215</v>
      </c>
    </row>
    <row r="192" spans="1:1" x14ac:dyDescent="0.3">
      <c r="A192" t="s">
        <v>216</v>
      </c>
    </row>
    <row r="193" spans="1:1" x14ac:dyDescent="0.3">
      <c r="A193" t="s">
        <v>217</v>
      </c>
    </row>
    <row r="194" spans="1:1" x14ac:dyDescent="0.3">
      <c r="A194" t="s">
        <v>218</v>
      </c>
    </row>
    <row r="195" spans="1:1" x14ac:dyDescent="0.3">
      <c r="A195" t="s">
        <v>219</v>
      </c>
    </row>
    <row r="196" spans="1:1" x14ac:dyDescent="0.3">
      <c r="A196" t="s">
        <v>220</v>
      </c>
    </row>
    <row r="197" spans="1:1" x14ac:dyDescent="0.3">
      <c r="A197" t="s">
        <v>221</v>
      </c>
    </row>
    <row r="198" spans="1:1" x14ac:dyDescent="0.3">
      <c r="A198" t="s">
        <v>222</v>
      </c>
    </row>
    <row r="199" spans="1:1" x14ac:dyDescent="0.3">
      <c r="A199" t="s">
        <v>223</v>
      </c>
    </row>
    <row r="200" spans="1:1" x14ac:dyDescent="0.3">
      <c r="A200" t="s">
        <v>224</v>
      </c>
    </row>
    <row r="201" spans="1:1" x14ac:dyDescent="0.3">
      <c r="A201" t="s">
        <v>225</v>
      </c>
    </row>
    <row r="202" spans="1:1" x14ac:dyDescent="0.3">
      <c r="A202" t="s">
        <v>226</v>
      </c>
    </row>
    <row r="203" spans="1:1" x14ac:dyDescent="0.3">
      <c r="A203" t="s">
        <v>227</v>
      </c>
    </row>
    <row r="204" spans="1:1" x14ac:dyDescent="0.3">
      <c r="A204" t="s">
        <v>228</v>
      </c>
    </row>
    <row r="205" spans="1:1" x14ac:dyDescent="0.3">
      <c r="A205" t="s">
        <v>229</v>
      </c>
    </row>
    <row r="206" spans="1:1" x14ac:dyDescent="0.3">
      <c r="A206" t="s">
        <v>230</v>
      </c>
    </row>
    <row r="207" spans="1:1" x14ac:dyDescent="0.3">
      <c r="A207" t="s">
        <v>231</v>
      </c>
    </row>
    <row r="208" spans="1:1" x14ac:dyDescent="0.3">
      <c r="A208" t="s">
        <v>232</v>
      </c>
    </row>
    <row r="209" spans="1:1" x14ac:dyDescent="0.3">
      <c r="A209" t="s">
        <v>233</v>
      </c>
    </row>
    <row r="210" spans="1:1" x14ac:dyDescent="0.3">
      <c r="A210" t="s">
        <v>234</v>
      </c>
    </row>
    <row r="211" spans="1:1" x14ac:dyDescent="0.3">
      <c r="A211" t="s">
        <v>235</v>
      </c>
    </row>
    <row r="212" spans="1:1" x14ac:dyDescent="0.3">
      <c r="A212" t="s">
        <v>236</v>
      </c>
    </row>
    <row r="213" spans="1:1" x14ac:dyDescent="0.3">
      <c r="A213" t="s">
        <v>237</v>
      </c>
    </row>
    <row r="214" spans="1:1" x14ac:dyDescent="0.3">
      <c r="A214" t="s">
        <v>238</v>
      </c>
    </row>
    <row r="215" spans="1:1" x14ac:dyDescent="0.3">
      <c r="A215" t="s">
        <v>239</v>
      </c>
    </row>
    <row r="216" spans="1:1" x14ac:dyDescent="0.3">
      <c r="A216" t="s">
        <v>240</v>
      </c>
    </row>
    <row r="217" spans="1:1" x14ac:dyDescent="0.3">
      <c r="A217" t="s">
        <v>241</v>
      </c>
    </row>
    <row r="218" spans="1:1" x14ac:dyDescent="0.3">
      <c r="A218" t="s">
        <v>242</v>
      </c>
    </row>
    <row r="219" spans="1:1" x14ac:dyDescent="0.3">
      <c r="A219" t="s">
        <v>243</v>
      </c>
    </row>
    <row r="220" spans="1:1" x14ac:dyDescent="0.3">
      <c r="A220" t="s">
        <v>244</v>
      </c>
    </row>
    <row r="221" spans="1:1" x14ac:dyDescent="0.3">
      <c r="A221" t="s">
        <v>245</v>
      </c>
    </row>
    <row r="222" spans="1:1" x14ac:dyDescent="0.3">
      <c r="A222" t="s">
        <v>246</v>
      </c>
    </row>
    <row r="223" spans="1:1" x14ac:dyDescent="0.3">
      <c r="A223" t="s">
        <v>247</v>
      </c>
    </row>
    <row r="224" spans="1:1" x14ac:dyDescent="0.3">
      <c r="A224" t="s">
        <v>248</v>
      </c>
    </row>
    <row r="225" spans="1:1" x14ac:dyDescent="0.3">
      <c r="A225" t="s">
        <v>249</v>
      </c>
    </row>
    <row r="226" spans="1:1" x14ac:dyDescent="0.3">
      <c r="A226" t="s">
        <v>250</v>
      </c>
    </row>
    <row r="227" spans="1:1" x14ac:dyDescent="0.3">
      <c r="A227" t="s">
        <v>251</v>
      </c>
    </row>
    <row r="228" spans="1:1" x14ac:dyDescent="0.3">
      <c r="A228" t="s">
        <v>252</v>
      </c>
    </row>
    <row r="229" spans="1:1" x14ac:dyDescent="0.3">
      <c r="A229" t="s">
        <v>253</v>
      </c>
    </row>
    <row r="230" spans="1:1" x14ac:dyDescent="0.3">
      <c r="A230" t="s">
        <v>254</v>
      </c>
    </row>
    <row r="231" spans="1:1" x14ac:dyDescent="0.3">
      <c r="A231" t="s">
        <v>255</v>
      </c>
    </row>
    <row r="232" spans="1:1" x14ac:dyDescent="0.3">
      <c r="A232" t="s">
        <v>256</v>
      </c>
    </row>
    <row r="233" spans="1:1" x14ac:dyDescent="0.3">
      <c r="A233" t="s">
        <v>257</v>
      </c>
    </row>
    <row r="234" spans="1:1" x14ac:dyDescent="0.3">
      <c r="A234" t="s">
        <v>258</v>
      </c>
    </row>
    <row r="235" spans="1:1" x14ac:dyDescent="0.3">
      <c r="A235" t="s">
        <v>259</v>
      </c>
    </row>
    <row r="236" spans="1:1" x14ac:dyDescent="0.3">
      <c r="A236" t="s">
        <v>260</v>
      </c>
    </row>
    <row r="237" spans="1:1" x14ac:dyDescent="0.3">
      <c r="A237" t="s">
        <v>261</v>
      </c>
    </row>
    <row r="238" spans="1:1" x14ac:dyDescent="0.3">
      <c r="A238" t="s">
        <v>262</v>
      </c>
    </row>
    <row r="239" spans="1:1" x14ac:dyDescent="0.3">
      <c r="A239" t="s">
        <v>263</v>
      </c>
    </row>
    <row r="240" spans="1:1" x14ac:dyDescent="0.3">
      <c r="A240" t="s">
        <v>264</v>
      </c>
    </row>
    <row r="241" spans="1:1" x14ac:dyDescent="0.3">
      <c r="A241" t="s">
        <v>265</v>
      </c>
    </row>
    <row r="242" spans="1:1" x14ac:dyDescent="0.3">
      <c r="A242" t="s">
        <v>266</v>
      </c>
    </row>
    <row r="243" spans="1:1" x14ac:dyDescent="0.3">
      <c r="A243" t="s">
        <v>267</v>
      </c>
    </row>
    <row r="244" spans="1:1" x14ac:dyDescent="0.3">
      <c r="A244" t="s">
        <v>268</v>
      </c>
    </row>
    <row r="245" spans="1:1" x14ac:dyDescent="0.3">
      <c r="A245" t="s">
        <v>269</v>
      </c>
    </row>
    <row r="246" spans="1:1" x14ac:dyDescent="0.3">
      <c r="A246" t="s">
        <v>270</v>
      </c>
    </row>
    <row r="247" spans="1:1" x14ac:dyDescent="0.3">
      <c r="A247" t="s">
        <v>271</v>
      </c>
    </row>
    <row r="248" spans="1:1" x14ac:dyDescent="0.3">
      <c r="A248" t="s">
        <v>272</v>
      </c>
    </row>
    <row r="249" spans="1:1" x14ac:dyDescent="0.3">
      <c r="A249" t="s">
        <v>273</v>
      </c>
    </row>
    <row r="250" spans="1:1" x14ac:dyDescent="0.3">
      <c r="A250" t="s">
        <v>274</v>
      </c>
    </row>
    <row r="251" spans="1:1" x14ac:dyDescent="0.3">
      <c r="A251" t="s">
        <v>275</v>
      </c>
    </row>
    <row r="252" spans="1:1" x14ac:dyDescent="0.3">
      <c r="A252" t="s">
        <v>276</v>
      </c>
    </row>
    <row r="253" spans="1:1" x14ac:dyDescent="0.3">
      <c r="A253" t="s">
        <v>277</v>
      </c>
    </row>
    <row r="254" spans="1:1" x14ac:dyDescent="0.3">
      <c r="A254" t="s">
        <v>278</v>
      </c>
    </row>
    <row r="255" spans="1:1" x14ac:dyDescent="0.3">
      <c r="A255" t="s">
        <v>279</v>
      </c>
    </row>
    <row r="256" spans="1:1" x14ac:dyDescent="0.3">
      <c r="A256" t="s">
        <v>280</v>
      </c>
    </row>
    <row r="257" spans="1:1" x14ac:dyDescent="0.3">
      <c r="A257" t="s">
        <v>281</v>
      </c>
    </row>
    <row r="258" spans="1:1" x14ac:dyDescent="0.3">
      <c r="A258" t="s">
        <v>282</v>
      </c>
    </row>
    <row r="259" spans="1:1" x14ac:dyDescent="0.3">
      <c r="A259" t="s">
        <v>283</v>
      </c>
    </row>
    <row r="260" spans="1:1" x14ac:dyDescent="0.3">
      <c r="A260" t="s">
        <v>284</v>
      </c>
    </row>
    <row r="261" spans="1:1" x14ac:dyDescent="0.3">
      <c r="A261" t="s">
        <v>285</v>
      </c>
    </row>
    <row r="262" spans="1:1" x14ac:dyDescent="0.3">
      <c r="A262" t="s">
        <v>286</v>
      </c>
    </row>
    <row r="263" spans="1:1" x14ac:dyDescent="0.3">
      <c r="A263" t="s">
        <v>287</v>
      </c>
    </row>
    <row r="264" spans="1:1" x14ac:dyDescent="0.3">
      <c r="A264" t="s">
        <v>288</v>
      </c>
    </row>
    <row r="265" spans="1:1" x14ac:dyDescent="0.3">
      <c r="A265" t="s">
        <v>289</v>
      </c>
    </row>
    <row r="266" spans="1:1" x14ac:dyDescent="0.3">
      <c r="A266" t="s">
        <v>290</v>
      </c>
    </row>
    <row r="267" spans="1:1" x14ac:dyDescent="0.3">
      <c r="A267" t="s">
        <v>291</v>
      </c>
    </row>
    <row r="268" spans="1:1" x14ac:dyDescent="0.3">
      <c r="A268" t="s">
        <v>292</v>
      </c>
    </row>
    <row r="269" spans="1:1" x14ac:dyDescent="0.3">
      <c r="A269" t="s">
        <v>293</v>
      </c>
    </row>
    <row r="270" spans="1:1" x14ac:dyDescent="0.3">
      <c r="A270" t="s">
        <v>294</v>
      </c>
    </row>
    <row r="271" spans="1:1" x14ac:dyDescent="0.3">
      <c r="A271" t="s">
        <v>295</v>
      </c>
    </row>
    <row r="272" spans="1:1" x14ac:dyDescent="0.3">
      <c r="A272" t="s">
        <v>296</v>
      </c>
    </row>
    <row r="273" spans="1:1" x14ac:dyDescent="0.3">
      <c r="A273" t="s">
        <v>297</v>
      </c>
    </row>
    <row r="274" spans="1:1" x14ac:dyDescent="0.3">
      <c r="A274" t="s">
        <v>298</v>
      </c>
    </row>
    <row r="275" spans="1:1" x14ac:dyDescent="0.3">
      <c r="A275" t="s">
        <v>299</v>
      </c>
    </row>
    <row r="276" spans="1:1" x14ac:dyDescent="0.3">
      <c r="A276" t="s">
        <v>300</v>
      </c>
    </row>
    <row r="277" spans="1:1" x14ac:dyDescent="0.3">
      <c r="A277" t="s">
        <v>301</v>
      </c>
    </row>
    <row r="278" spans="1:1" x14ac:dyDescent="0.3">
      <c r="A278" t="s">
        <v>302</v>
      </c>
    </row>
    <row r="279" spans="1:1" x14ac:dyDescent="0.3">
      <c r="A279" t="s">
        <v>303</v>
      </c>
    </row>
    <row r="280" spans="1:1" x14ac:dyDescent="0.3">
      <c r="A280" t="s">
        <v>304</v>
      </c>
    </row>
    <row r="281" spans="1:1" x14ac:dyDescent="0.3">
      <c r="A281" t="s">
        <v>305</v>
      </c>
    </row>
    <row r="282" spans="1:1" x14ac:dyDescent="0.3">
      <c r="A282" t="s">
        <v>306</v>
      </c>
    </row>
    <row r="283" spans="1:1" x14ac:dyDescent="0.3">
      <c r="A283" t="s">
        <v>307</v>
      </c>
    </row>
    <row r="284" spans="1:1" x14ac:dyDescent="0.3">
      <c r="A284" t="s">
        <v>308</v>
      </c>
    </row>
    <row r="285" spans="1:1" x14ac:dyDescent="0.3">
      <c r="A285" t="s">
        <v>309</v>
      </c>
    </row>
    <row r="286" spans="1:1" x14ac:dyDescent="0.3">
      <c r="A286" t="s">
        <v>310</v>
      </c>
    </row>
    <row r="287" spans="1:1" x14ac:dyDescent="0.3">
      <c r="A287" t="s">
        <v>311</v>
      </c>
    </row>
    <row r="288" spans="1:1" x14ac:dyDescent="0.3">
      <c r="A288" t="s">
        <v>312</v>
      </c>
    </row>
    <row r="289" spans="1:1" x14ac:dyDescent="0.3">
      <c r="A289" t="s">
        <v>313</v>
      </c>
    </row>
    <row r="290" spans="1:1" x14ac:dyDescent="0.3">
      <c r="A290" t="s">
        <v>314</v>
      </c>
    </row>
    <row r="291" spans="1:1" x14ac:dyDescent="0.3">
      <c r="A291" t="s">
        <v>315</v>
      </c>
    </row>
    <row r="292" spans="1:1" x14ac:dyDescent="0.3">
      <c r="A292" t="s">
        <v>316</v>
      </c>
    </row>
    <row r="293" spans="1:1" x14ac:dyDescent="0.3">
      <c r="A293" t="s">
        <v>317</v>
      </c>
    </row>
    <row r="294" spans="1:1" x14ac:dyDescent="0.3">
      <c r="A294" t="s">
        <v>318</v>
      </c>
    </row>
    <row r="295" spans="1:1" x14ac:dyDescent="0.3">
      <c r="A295" t="s">
        <v>319</v>
      </c>
    </row>
    <row r="296" spans="1:1" x14ac:dyDescent="0.3">
      <c r="A296" t="s">
        <v>320</v>
      </c>
    </row>
    <row r="297" spans="1:1" x14ac:dyDescent="0.3">
      <c r="A297" t="s">
        <v>321</v>
      </c>
    </row>
    <row r="298" spans="1:1" x14ac:dyDescent="0.3">
      <c r="A298" t="s">
        <v>322</v>
      </c>
    </row>
    <row r="299" spans="1:1" x14ac:dyDescent="0.3">
      <c r="A299" t="s">
        <v>323</v>
      </c>
    </row>
    <row r="300" spans="1:1" x14ac:dyDescent="0.3">
      <c r="A300" t="s">
        <v>324</v>
      </c>
    </row>
    <row r="301" spans="1:1" x14ac:dyDescent="0.3">
      <c r="A301" t="s">
        <v>325</v>
      </c>
    </row>
    <row r="302" spans="1:1" x14ac:dyDescent="0.3">
      <c r="A302" t="s">
        <v>326</v>
      </c>
    </row>
    <row r="303" spans="1:1" x14ac:dyDescent="0.3">
      <c r="A303" t="s">
        <v>327</v>
      </c>
    </row>
    <row r="304" spans="1:1" x14ac:dyDescent="0.3">
      <c r="A304" t="s">
        <v>328</v>
      </c>
    </row>
    <row r="305" spans="1:1" x14ac:dyDescent="0.3">
      <c r="A305" t="s">
        <v>329</v>
      </c>
    </row>
    <row r="306" spans="1:1" x14ac:dyDescent="0.3">
      <c r="A306" t="s">
        <v>330</v>
      </c>
    </row>
    <row r="307" spans="1:1" x14ac:dyDescent="0.3">
      <c r="A307" t="s">
        <v>331</v>
      </c>
    </row>
    <row r="308" spans="1:1" x14ac:dyDescent="0.3">
      <c r="A308" t="s">
        <v>332</v>
      </c>
    </row>
    <row r="309" spans="1:1" x14ac:dyDescent="0.3">
      <c r="A309" t="s">
        <v>333</v>
      </c>
    </row>
    <row r="310" spans="1:1" x14ac:dyDescent="0.3">
      <c r="A310" t="s">
        <v>334</v>
      </c>
    </row>
    <row r="311" spans="1:1" x14ac:dyDescent="0.3">
      <c r="A311" t="s">
        <v>335</v>
      </c>
    </row>
    <row r="312" spans="1:1" x14ac:dyDescent="0.3">
      <c r="A312" t="s">
        <v>336</v>
      </c>
    </row>
    <row r="313" spans="1:1" x14ac:dyDescent="0.3">
      <c r="A313" t="s">
        <v>337</v>
      </c>
    </row>
    <row r="314" spans="1:1" x14ac:dyDescent="0.3">
      <c r="A314" t="s">
        <v>338</v>
      </c>
    </row>
    <row r="315" spans="1:1" x14ac:dyDescent="0.3">
      <c r="A315" t="s">
        <v>339</v>
      </c>
    </row>
    <row r="316" spans="1:1" x14ac:dyDescent="0.3">
      <c r="A316" t="s">
        <v>340</v>
      </c>
    </row>
    <row r="317" spans="1:1" x14ac:dyDescent="0.3">
      <c r="A317" t="s">
        <v>341</v>
      </c>
    </row>
    <row r="318" spans="1:1" x14ac:dyDescent="0.3">
      <c r="A318" t="s">
        <v>342</v>
      </c>
    </row>
    <row r="319" spans="1:1" x14ac:dyDescent="0.3">
      <c r="A319" t="s">
        <v>343</v>
      </c>
    </row>
    <row r="320" spans="1:1" x14ac:dyDescent="0.3">
      <c r="A320" t="s">
        <v>344</v>
      </c>
    </row>
    <row r="321" spans="1:1" x14ac:dyDescent="0.3">
      <c r="A321" t="s">
        <v>345</v>
      </c>
    </row>
    <row r="322" spans="1:1" x14ac:dyDescent="0.3">
      <c r="A322" t="s">
        <v>346</v>
      </c>
    </row>
    <row r="323" spans="1:1" x14ac:dyDescent="0.3">
      <c r="A323" t="s">
        <v>347</v>
      </c>
    </row>
    <row r="324" spans="1:1" x14ac:dyDescent="0.3">
      <c r="A324" t="s">
        <v>16</v>
      </c>
    </row>
    <row r="325" spans="1:1" x14ac:dyDescent="0.3">
      <c r="A325" t="s">
        <v>348</v>
      </c>
    </row>
    <row r="326" spans="1:1" x14ac:dyDescent="0.3">
      <c r="A326" t="s">
        <v>349</v>
      </c>
    </row>
    <row r="327" spans="1:1" x14ac:dyDescent="0.3">
      <c r="A327" t="s">
        <v>350</v>
      </c>
    </row>
    <row r="328" spans="1:1" x14ac:dyDescent="0.3">
      <c r="A328" t="s">
        <v>351</v>
      </c>
    </row>
    <row r="329" spans="1:1" x14ac:dyDescent="0.3">
      <c r="A329" t="s">
        <v>352</v>
      </c>
    </row>
    <row r="330" spans="1:1" x14ac:dyDescent="0.3">
      <c r="A330" t="s">
        <v>353</v>
      </c>
    </row>
    <row r="331" spans="1:1" x14ac:dyDescent="0.3">
      <c r="A331" t="s">
        <v>354</v>
      </c>
    </row>
    <row r="332" spans="1:1" x14ac:dyDescent="0.3">
      <c r="A332" t="s">
        <v>355</v>
      </c>
    </row>
    <row r="333" spans="1:1" x14ac:dyDescent="0.3">
      <c r="A333" t="s">
        <v>356</v>
      </c>
    </row>
    <row r="334" spans="1:1" x14ac:dyDescent="0.3">
      <c r="A334" t="s">
        <v>357</v>
      </c>
    </row>
    <row r="335" spans="1:1" x14ac:dyDescent="0.3">
      <c r="A335" t="s">
        <v>358</v>
      </c>
    </row>
    <row r="336" spans="1:1" x14ac:dyDescent="0.3">
      <c r="A336" t="s">
        <v>359</v>
      </c>
    </row>
    <row r="337" spans="1:1" x14ac:dyDescent="0.3">
      <c r="A337" t="s">
        <v>360</v>
      </c>
    </row>
    <row r="338" spans="1:1" x14ac:dyDescent="0.3">
      <c r="A338" t="s">
        <v>361</v>
      </c>
    </row>
    <row r="339" spans="1:1" x14ac:dyDescent="0.3">
      <c r="A339" t="s">
        <v>362</v>
      </c>
    </row>
    <row r="340" spans="1:1" x14ac:dyDescent="0.3">
      <c r="A340" t="s">
        <v>363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4"/>
  <sheetViews>
    <sheetView workbookViewId="0"/>
  </sheetViews>
  <sheetFormatPr defaultRowHeight="14.4" x14ac:dyDescent="0.3"/>
  <cols>
    <col min="1" max="1" width="78.88671875" customWidth="1"/>
  </cols>
  <sheetData>
    <row r="1" spans="1:1" ht="23.4" x14ac:dyDescent="0.45">
      <c r="A1" s="18" t="s">
        <v>396</v>
      </c>
    </row>
    <row r="3" spans="1:1" ht="72" x14ac:dyDescent="0.3">
      <c r="A3" s="25" t="s">
        <v>441</v>
      </c>
    </row>
    <row r="4" spans="1:1" x14ac:dyDescent="0.3">
      <c r="A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Instructions</vt:lpstr>
      <vt:lpstr>Uber and Lyft</vt:lpstr>
      <vt:lpstr>Meals 1 - Alone</vt:lpstr>
      <vt:lpstr>Hotels</vt:lpstr>
      <vt:lpstr>Meals 2 - In Office</vt:lpstr>
      <vt:lpstr>Meals 3 - Group Outside Office</vt:lpstr>
      <vt:lpstr>Taxi</vt:lpstr>
      <vt:lpstr>Settings</vt:lpstr>
      <vt:lpstr>Notes</vt:lpstr>
      <vt:lpstr>ChargeCode</vt:lpstr>
      <vt:lpstr>Location</vt:lpstr>
      <vt:lpstr>ReceiptsDir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2015-02-01T19:52:39Z</dcterms:created>
  <dcterms:modified xsi:type="dcterms:W3CDTF">2016-10-18T23:29:38Z</dcterms:modified>
</cp:coreProperties>
</file>